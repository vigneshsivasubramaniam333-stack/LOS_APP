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Dell\encorews8\encore-server\src\main\resources\mysql\"/>
    </mc:Choice>
  </mc:AlternateContent>
  <xr:revisionPtr revIDLastSave="0" documentId="13_ncr:1_{5BB69809-D380-4ECF-AC6A-8FF287DB3741}" xr6:coauthVersionLast="47" xr6:coauthVersionMax="47" xr10:uidLastSave="{00000000-0000-0000-0000-000000000000}"/>
  <bookViews>
    <workbookView xWindow="-108" yWindow="-108" windowWidth="23256" windowHeight="12576" tabRatio="820" activeTab="2" xr2:uid="{00000000-000D-0000-FFFF-FFFF00000000}"/>
  </bookViews>
  <sheets>
    <sheet name="ReadMe" sheetId="12" r:id="rId1"/>
    <sheet name="Customer" sheetId="1" r:id="rId2"/>
    <sheet name="Loan" sheetId="2" r:id="rId3"/>
    <sheet name="Demand" sheetId="3" r:id="rId4"/>
    <sheet name="Fee" sheetId="4" r:id="rId5"/>
    <sheet name="Disbursement" sheetId="8" r:id="rId6"/>
    <sheet name="Repayment" sheetId="9" r:id="rId7"/>
    <sheet name="ScheduleBalance" sheetId="5" r:id="rId8"/>
    <sheet name="InternalAcBalance" sheetId="7" r:id="rId9"/>
    <sheet name="PDC" sheetId="10" r:id="rId10"/>
    <sheet name="ACHMandate" sheetId="11" r:id="rId11"/>
    <sheet name="HistoryTransaction" sheetId="6" r:id="rId12"/>
  </sheets>
  <calcPr calcId="181029"/>
</workbook>
</file>

<file path=xl/calcChain.xml><?xml version="1.0" encoding="utf-8"?>
<calcChain xmlns="http://schemas.openxmlformats.org/spreadsheetml/2006/main">
  <c r="O9" i="9" l="1"/>
  <c r="O8" i="9"/>
  <c r="O7" i="9"/>
  <c r="O6" i="9"/>
  <c r="O5" i="9"/>
  <c r="T5" i="4" l="1"/>
  <c r="L5" i="8"/>
  <c r="K6" i="3"/>
  <c r="K7" i="3"/>
  <c r="K8" i="3"/>
  <c r="K9" i="3"/>
  <c r="K10" i="3"/>
  <c r="K11" i="3"/>
  <c r="AP6" i="2"/>
  <c r="T6" i="4" l="1"/>
  <c r="V6" i="4" s="1"/>
  <c r="M11" i="3"/>
  <c r="M10" i="3"/>
  <c r="AP8" i="2"/>
  <c r="AR8" i="2" s="1"/>
  <c r="Q9" i="9" l="1"/>
  <c r="Q8" i="9"/>
  <c r="Q7" i="9"/>
  <c r="Q6" i="9"/>
  <c r="M9" i="3"/>
  <c r="M8" i="3"/>
  <c r="M7" i="3"/>
  <c r="M6" i="3"/>
  <c r="AP7" i="2"/>
  <c r="AR7" i="2" s="1"/>
  <c r="AR6" i="2" l="1"/>
  <c r="W6" i="1"/>
  <c r="Y6" i="1" s="1"/>
  <c r="AP5" i="2" l="1"/>
  <c r="AR5" i="2" s="1"/>
  <c r="F5" i="5" l="1"/>
  <c r="G5" i="5" l="1"/>
  <c r="H5" i="5" s="1"/>
  <c r="J5" i="5" s="1"/>
  <c r="L5" i="5" s="1"/>
  <c r="W5" i="1" l="1"/>
  <c r="Y5" i="1" s="1"/>
  <c r="Q5" i="9" l="1"/>
  <c r="N5" i="8"/>
  <c r="V5" i="4"/>
  <c r="B5" i="3"/>
  <c r="K5" i="3" l="1"/>
  <c r="M5" i="3" s="1"/>
</calcChain>
</file>

<file path=xl/sharedStrings.xml><?xml version="1.0" encoding="utf-8"?>
<sst xmlns="http://schemas.openxmlformats.org/spreadsheetml/2006/main" count="836" uniqueCount="377">
  <si>
    <t>Customer ID</t>
  </si>
  <si>
    <t>First Name</t>
  </si>
  <si>
    <t>Last Name</t>
  </si>
  <si>
    <t>Gender</t>
  </si>
  <si>
    <t>City</t>
  </si>
  <si>
    <t>State</t>
  </si>
  <si>
    <t>PIN Code</t>
  </si>
  <si>
    <t>Branch Code</t>
  </si>
  <si>
    <t>Customer Type</t>
  </si>
  <si>
    <t>Email</t>
  </si>
  <si>
    <t>Country Code</t>
  </si>
  <si>
    <t>Unique id for customer</t>
  </si>
  <si>
    <t>First name of customer</t>
  </si>
  <si>
    <t>Last name of customer</t>
  </si>
  <si>
    <t>Gender of customer</t>
  </si>
  <si>
    <t>Address of customer</t>
  </si>
  <si>
    <t>City Code</t>
  </si>
  <si>
    <t>State Code</t>
  </si>
  <si>
    <t>Branch Code of customer</t>
  </si>
  <si>
    <t>Entity Type of customer</t>
  </si>
  <si>
    <t>Phone #</t>
  </si>
  <si>
    <t>Email address</t>
  </si>
  <si>
    <t>Mandatory</t>
  </si>
  <si>
    <t>Optional</t>
  </si>
  <si>
    <t>Character(16)</t>
  </si>
  <si>
    <t>Character(40)</t>
  </si>
  <si>
    <t>M/F/O</t>
  </si>
  <si>
    <t>Character(100)</t>
  </si>
  <si>
    <t>As per master</t>
  </si>
  <si>
    <t>Number(6)</t>
  </si>
  <si>
    <t>Character(6)</t>
  </si>
  <si>
    <t>Number(20)</t>
  </si>
  <si>
    <t>Character(35)</t>
  </si>
  <si>
    <t>Account Number</t>
  </si>
  <si>
    <t>Account Status</t>
  </si>
  <si>
    <t>Normal Interest Rate</t>
  </si>
  <si>
    <t>Penal Interest Rate</t>
  </si>
  <si>
    <t>Loan Amount</t>
  </si>
  <si>
    <t>Account Open Date</t>
  </si>
  <si>
    <t>Account Close Date</t>
  </si>
  <si>
    <t>Maturity date</t>
  </si>
  <si>
    <t>Tenure</t>
  </si>
  <si>
    <t>Frequency</t>
  </si>
  <si>
    <t>Installment Amount</t>
  </si>
  <si>
    <t>Booked Not Due Normal Interest</t>
  </si>
  <si>
    <t>Booked Not Due Penal Interest</t>
  </si>
  <si>
    <t>Total Disbursed</t>
  </si>
  <si>
    <t>Ledger Balance</t>
  </si>
  <si>
    <t>Last Booking Date</t>
  </si>
  <si>
    <t>Next Demand Scheduled Date</t>
  </si>
  <si>
    <t>First Disbursement Date</t>
  </si>
  <si>
    <t>Last Disbursement Date</t>
  </si>
  <si>
    <t>First Repayment Date</t>
  </si>
  <si>
    <t>Principal written off</t>
  </si>
  <si>
    <t>Writeoff date</t>
  </si>
  <si>
    <t>Booked Normal Interest</t>
  </si>
  <si>
    <t>Open UserId</t>
  </si>
  <si>
    <t>Account number</t>
  </si>
  <si>
    <t>Customer ID of account holder</t>
  </si>
  <si>
    <t>Branch code for branch under which this account is opened</t>
  </si>
  <si>
    <t>Product Code of product under which account is opened</t>
  </si>
  <si>
    <t>Status of account</t>
  </si>
  <si>
    <t>Any old identifier for account</t>
  </si>
  <si>
    <t>Interest rate charged on loan</t>
  </si>
  <si>
    <t>Penal interest rate charged on loan</t>
  </si>
  <si>
    <t>Loan Amount that was sanctioned</t>
  </si>
  <si>
    <t>Date on which account has been opened</t>
  </si>
  <si>
    <t>Date on which account has been closed</t>
  </si>
  <si>
    <t>Tenure of loan in unit of frequency</t>
  </si>
  <si>
    <t>EMI to be paid</t>
  </si>
  <si>
    <t>Normal interest accrued, not due</t>
  </si>
  <si>
    <t>Penal interest accrued, not due</t>
  </si>
  <si>
    <t>Total amount disbursed so far</t>
  </si>
  <si>
    <t>Principal balance</t>
  </si>
  <si>
    <t>Date of last booking i.e., accrual</t>
  </si>
  <si>
    <t>Date of generation of next demand</t>
  </si>
  <si>
    <t>Date of first disbursement</t>
  </si>
  <si>
    <t>Date of last disbursement</t>
  </si>
  <si>
    <t>Date for first repayment: also the preferred repayment date</t>
  </si>
  <si>
    <t>Amount to be reduced in next demand</t>
  </si>
  <si>
    <t>Amount to be added to next demand</t>
  </si>
  <si>
    <t>Security deposit collected from customer to be used when demand not paid</t>
  </si>
  <si>
    <t>Date of writeoff</t>
  </si>
  <si>
    <t>Moratorium Period as per product level Moratorium period unit</t>
  </si>
  <si>
    <t>Mandatory for equated loans</t>
  </si>
  <si>
    <t>Character(4)</t>
  </si>
  <si>
    <t>Percentage(9,6)</t>
  </si>
  <si>
    <t>Decimal (14,2)</t>
  </si>
  <si>
    <t>Date</t>
  </si>
  <si>
    <t>Number</t>
  </si>
  <si>
    <t>DAY/WEEK/MONTH / QUARTER/HALF-YEAR/YEAR)</t>
  </si>
  <si>
    <t>0/1</t>
  </si>
  <si>
    <t>Character</t>
  </si>
  <si>
    <t>Account ID</t>
  </si>
  <si>
    <t>Demand Num</t>
  </si>
  <si>
    <t>Demand Date</t>
  </si>
  <si>
    <t>Amount</t>
  </si>
  <si>
    <t>Principal</t>
  </si>
  <si>
    <t>Normal Interest</t>
  </si>
  <si>
    <t>Penal Interest</t>
  </si>
  <si>
    <t>Loan Account ID</t>
  </si>
  <si>
    <t>Date on which demand was raised</t>
  </si>
  <si>
    <t>Total demand amount</t>
  </si>
  <si>
    <t>Principal part of demand</t>
  </si>
  <si>
    <t>Normal interest part of demand</t>
  </si>
  <si>
    <t>Penal interest part of demand</t>
  </si>
  <si>
    <t>Fee Num</t>
  </si>
  <si>
    <t>Fee Name</t>
  </si>
  <si>
    <t>Fee Description</t>
  </si>
  <si>
    <t>Charge Value Date</t>
  </si>
  <si>
    <t>Charge Transaction ID</t>
  </si>
  <si>
    <t>Gross Amount</t>
  </si>
  <si>
    <t>Fee number</t>
  </si>
  <si>
    <t>Processing fee / Bounce charge / CIBIL charge</t>
  </si>
  <si>
    <t>Description of fee</t>
  </si>
  <si>
    <t>Value date on which fee was charged</t>
  </si>
  <si>
    <t>Charge transaction ID</t>
  </si>
  <si>
    <t>Fee Amount (net)</t>
  </si>
  <si>
    <t>Balance</t>
  </si>
  <si>
    <t xml:space="preserve"> Date</t>
  </si>
  <si>
    <t>Balance magnitude</t>
  </si>
  <si>
    <t>Date of balance change</t>
  </si>
  <si>
    <t>Transaction Description</t>
  </si>
  <si>
    <t>Value Date</t>
  </si>
  <si>
    <t>Transaction ID</t>
  </si>
  <si>
    <t>Is Reversal</t>
  </si>
  <si>
    <t>Description of transaction</t>
  </si>
  <si>
    <t>Value date on which transaction was posted</t>
  </si>
  <si>
    <t>Principal component of transaction amount</t>
  </si>
  <si>
    <t>Normal interest component of transaction amount</t>
  </si>
  <si>
    <t>Penal interest component of transaction amount</t>
  </si>
  <si>
    <t>Balance when transaction was posted</t>
  </si>
  <si>
    <t>1 if reversal, 0 otherwise</t>
  </si>
  <si>
    <t>Character(45)</t>
  </si>
  <si>
    <t>Internal Account Code</t>
  </si>
  <si>
    <t>Used to specify accounts where internal accounting entries have to be posted E.g.,Cash,Parking,Forfeit,Waiv,IbrDueTo,IbrDueFrom,FeeInc,FeeRcv,FeeSurc,PAndL,L101IntAccr,L101IntInc,L101IntRcv,L101IntSus,L101PnlIntAccr,L101PnlIntInc,L101PnlIntRcv,L101PnlIntSus</t>
  </si>
  <si>
    <t>Character(20)</t>
  </si>
  <si>
    <t>Payment Value Date</t>
  </si>
  <si>
    <t>Value date on which fee was paid</t>
  </si>
  <si>
    <t>Description of transaction: Disbursement / ScheduledRepayment / PrePayment / PreClosure / AdvanceRepayment</t>
  </si>
  <si>
    <t>Repayment Type</t>
  </si>
  <si>
    <t>Description of Transaction</t>
  </si>
  <si>
    <t>Net Disbursement</t>
  </si>
  <si>
    <t>Net disbursement amount of disbursed amount</t>
  </si>
  <si>
    <t>Instrument</t>
  </si>
  <si>
    <t>Instrument used to repay</t>
  </si>
  <si>
    <t>CASH/CHEQUE_OR_DD/ELECTRONIC/..</t>
  </si>
  <si>
    <t>Instrument used to disburse</t>
  </si>
  <si>
    <t>UserId</t>
  </si>
  <si>
    <t>Id of user who disbursed</t>
  </si>
  <si>
    <t>Due part of demand</t>
  </si>
  <si>
    <t>Normal Interest booked from start of loan booking</t>
  </si>
  <si>
    <t>Disbursement Num</t>
  </si>
  <si>
    <t>Disbursement number</t>
  </si>
  <si>
    <t>Repayment Num</t>
  </si>
  <si>
    <t>Repayment number</t>
  </si>
  <si>
    <t>ScheduledRepayment / Prepayment / Pre-closure / AdvanceRepayment</t>
  </si>
  <si>
    <t>Demand #</t>
  </si>
  <si>
    <t>Booked Penal Interest</t>
  </si>
  <si>
    <t>Penal Interest booked from start of loan booking</t>
  </si>
  <si>
    <t>Close UserId</t>
  </si>
  <si>
    <t>UserId which closed the loan</t>
  </si>
  <si>
    <t>UserId which opened the loan</t>
  </si>
  <si>
    <t>Customer ID2</t>
  </si>
  <si>
    <t>Customer ID of joint account holder</t>
  </si>
  <si>
    <t>Demand Adjustment</t>
  </si>
  <si>
    <t>Interest Adjustment</t>
  </si>
  <si>
    <t>Security Deposit</t>
  </si>
  <si>
    <t>Moratorium Period</t>
  </si>
  <si>
    <t>Product Code</t>
  </si>
  <si>
    <t>Charge User ID</t>
  </si>
  <si>
    <t>Payment User ID</t>
  </si>
  <si>
    <t>Instrument used to pay</t>
  </si>
  <si>
    <t>Payment Transaction ID</t>
  </si>
  <si>
    <t>Payment transaction ID</t>
  </si>
  <si>
    <t>Id of user who paid</t>
  </si>
  <si>
    <t>Id of user who charged</t>
  </si>
  <si>
    <t>Normal Interest Limit</t>
  </si>
  <si>
    <t>Demand Due</t>
  </si>
  <si>
    <t>);</t>
  </si>
  <si>
    <t>INSERT INTO `migrated_demands` (`tenant_code`,`account_id`,`demand_num`,`demand_date`,`amount_magnitude`,`principal_magnitude`,`normal_interest_magnitude`, `penal_interest_magnitude`,`demand_due_magnitude`,`balance_magnitude`,`processed`) VALUES (</t>
  </si>
  <si>
    <t>MONTH</t>
  </si>
  <si>
    <t>INSERT INTO `migrated_loan_accounts` (`tenant_code`,`account_id`,`customer_id`,`customer_id2`,`branch_code`,`product_code`,`operational_status`,`original_account_id`,`normal_interest_rate`, `penal_interest_rate`,`nominal_interest_rate`,`amount_magnitude`,`opened_on_date`,`closed_on_value_date`,`maturity_date`,`tenure_magnitude`,`tenure_unit`, `installment_amount_magnitude`,`booked_not_due_normal_interest_magnitude`,`booked_not_due_penal_interest_magnitude`, `total_disbursed_magnitude`,`balance_magnitude`,`last_booking_date`, `next_demand_schedule_date`, `first_disbursement_date`, `last_disbursement_date`, `first_repayment_date`, `demand_adjustment_magnitude`, `interest_adjustment_magnitude`,`security_deposit_magnitude`, `principal_write_off_magnitude`,`write_off_date`, `normal_interest_limit_magnitude`,`moratorium_period`, `booked_normal_interest_magnitude`,
`booked_penal_interest_magnitude`,`open_user_id`,`close_user_id`,`processed`) VALUES (</t>
  </si>
  <si>
    <t>Processing Fee</t>
  </si>
  <si>
    <t>Fees</t>
  </si>
  <si>
    <t>C12345</t>
  </si>
  <si>
    <t>U1</t>
  </si>
  <si>
    <t>C1345</t>
  </si>
  <si>
    <t>U2</t>
  </si>
  <si>
    <t>CASH</t>
  </si>
  <si>
    <t>disbursement</t>
  </si>
  <si>
    <t>T1</t>
  </si>
  <si>
    <t>u5</t>
  </si>
  <si>
    <t>Middle Name</t>
  </si>
  <si>
    <t>Middle name of customer</t>
  </si>
  <si>
    <t>Date of Birth</t>
  </si>
  <si>
    <t>Date of birth</t>
  </si>
  <si>
    <t>Address1</t>
  </si>
  <si>
    <t>District</t>
  </si>
  <si>
    <t>District Code</t>
  </si>
  <si>
    <t>Phone1</t>
  </si>
  <si>
    <t>Phone2</t>
  </si>
  <si>
    <t>Address2</t>
  </si>
  <si>
    <t>Address3</t>
  </si>
  <si>
    <t>Nationality</t>
  </si>
  <si>
    <t>Nationality of customer</t>
  </si>
  <si>
    <t>Character(50)</t>
  </si>
  <si>
    <t>Original Customer ID</t>
  </si>
  <si>
    <t>Original Acc no</t>
  </si>
  <si>
    <t>Any old identifier for customer</t>
  </si>
  <si>
    <t>INSERT INTO `migrated_customers` (`tenant_code`,`customer_id`,`original_customer_id`,`branch_code`,`first_name`,`middle_name`,`last_name`,`address1`,`address2`,`address3`,`city_code`,`district_code`,`state_code`,`country_code`,`pin_code`,`customer_type`,`date_of_birth`,`gender`,`nationality`,`phone1`,`phone2`,`email`,`processed`) VALUES (</t>
  </si>
  <si>
    <t>Jones</t>
  </si>
  <si>
    <t>S</t>
  </si>
  <si>
    <t>Doe</t>
  </si>
  <si>
    <t>A1</t>
  </si>
  <si>
    <t>A2</t>
  </si>
  <si>
    <t>A3</t>
  </si>
  <si>
    <t>BLR</t>
  </si>
  <si>
    <t>KA</t>
  </si>
  <si>
    <t>IN</t>
  </si>
  <si>
    <t>INDIVIDUAL</t>
  </si>
  <si>
    <t>Male</t>
  </si>
  <si>
    <t>Indian</t>
  </si>
  <si>
    <t>s@g.com</t>
  </si>
  <si>
    <t>VLOOKUP</t>
  </si>
  <si>
    <t>Principal part of demand as per schedule</t>
  </si>
  <si>
    <t>Demand Amount</t>
  </si>
  <si>
    <t>Principal Part</t>
  </si>
  <si>
    <t>Interest Part</t>
  </si>
  <si>
    <t>Interest part of demand as per schedule</t>
  </si>
  <si>
    <t>Demand amount as per schedule</t>
  </si>
  <si>
    <t>Cumulative Principal Part</t>
  </si>
  <si>
    <t>Formula</t>
  </si>
  <si>
    <t>Dummy</t>
  </si>
  <si>
    <t>Principal part sum upto demand date</t>
  </si>
  <si>
    <t>INSERT INTO `migrated_schedule_balances` (`tenant_code`,`account_id`,`demand_date`,`balance_magnitude`,`processed`) VALUES (</t>
  </si>
  <si>
    <t>Amount disbursed as loan</t>
  </si>
  <si>
    <t>HO</t>
  </si>
  <si>
    <t>ELCFD</t>
  </si>
  <si>
    <t>admin</t>
  </si>
  <si>
    <t>0-Active/1-Inactive/2-Closed/3-Frozen/4-Settled/5-Writeoff</t>
  </si>
  <si>
    <t>ro1</t>
  </si>
  <si>
    <t>INSERT INTO `migrated_disbursements` (`tenant_code`,`account_id`,`disbursement_num`,`description`,`disbursement_date`,`transaction_id`, `amount_magnitude`,`net_disbursement_magnitude`,`balance_magnitude`,`instrument`,`user_id`,`processed`) VALUES (</t>
  </si>
  <si>
    <t>T3</t>
  </si>
  <si>
    <t>ScheduledRepayment</t>
  </si>
  <si>
    <t>Repayment</t>
  </si>
  <si>
    <t>INSERT INTO `migrated_repayments` (`tenant_code`,`account_id`,`repayment_num`,`transaction_id`,`repayment_type`,`description`,`repayment_date`, `amount_magnitude`,`principal_magnitude`,`normal_interest_magnitude`,`penal_interest_magnitude`,`balance_magnitude`,`instrument`,`user_id`,`processed`) VALUES (</t>
  </si>
  <si>
    <t>INDIVIDUAL / PRIVATE_LIMITED</t>
  </si>
  <si>
    <t>Fee Due</t>
  </si>
  <si>
    <t>Amount due</t>
  </si>
  <si>
    <t>50</t>
  </si>
  <si>
    <t>Tax1</t>
  </si>
  <si>
    <t>Tax2</t>
  </si>
  <si>
    <t>Tax3</t>
  </si>
  <si>
    <t>Tax4</t>
  </si>
  <si>
    <t>Surcharge component 1</t>
  </si>
  <si>
    <t>Surcharge component 2</t>
  </si>
  <si>
    <t>Surcharge component 3</t>
  </si>
  <si>
    <t>Surcharge component 4</t>
  </si>
  <si>
    <t>Net Amount + Surcharge</t>
  </si>
  <si>
    <t>F112</t>
  </si>
  <si>
    <t>F113</t>
  </si>
  <si>
    <t>INSERT INTO `migrated_fees` (`tenant_code`,`account_id`,`fee_num`,`fee_category`,`fee_description`,`charged_value_date`,`charged_transaction_id`,`charge_user_id`,`amount_magnitude`,`tax1_magnitude`,`tax2_magnitude`,`tax3_magnitude`,`tax4_magnitude`,`gross_amount_magnitude`,`fee_due_magnitude`,`payment_value_date`,`payment_transaction_id`,`payment_user_id`,`instrument`,`processed`) VALUES (</t>
  </si>
  <si>
    <t>PDC Num</t>
  </si>
  <si>
    <t>Cheque_no</t>
  </si>
  <si>
    <t>Bank Ac_No</t>
  </si>
  <si>
    <t>Bank</t>
  </si>
  <si>
    <t>Branch</t>
  </si>
  <si>
    <t>IFSC Code</t>
  </si>
  <si>
    <t>MICR</t>
  </si>
  <si>
    <t>Reject Reason</t>
  </si>
  <si>
    <t>Status</t>
  </si>
  <si>
    <t>Clearing Date</t>
  </si>
  <si>
    <t>RejectionDate</t>
  </si>
  <si>
    <t>Unassigned / Sent-to-bank / Cleared / Rejected / Under-clearance</t>
  </si>
  <si>
    <t>AccountId</t>
  </si>
  <si>
    <t>Branch Name</t>
  </si>
  <si>
    <t>Bank Account Id</t>
  </si>
  <si>
    <t>Bank City</t>
  </si>
  <si>
    <t>Account Type</t>
  </si>
  <si>
    <t>Max Amount</t>
  </si>
  <si>
    <t>UMRN</t>
  </si>
  <si>
    <t>Registration Date</t>
  </si>
  <si>
    <t>ACH Start Date</t>
  </si>
  <si>
    <t>ACH End Date</t>
  </si>
  <si>
    <t>Registration Status</t>
  </si>
  <si>
    <t>Sponsor Bank Code</t>
  </si>
  <si>
    <t>Utility Code</t>
  </si>
  <si>
    <t>email id</t>
  </si>
  <si>
    <t>Active</t>
  </si>
  <si>
    <t>Bank Name</t>
  </si>
  <si>
    <t>Mandate Application ID</t>
  </si>
  <si>
    <t>Name of  branch where customer's bank account is held</t>
  </si>
  <si>
    <t>Name of customer's bank</t>
  </si>
  <si>
    <t>Name of customer's city</t>
  </si>
  <si>
    <t>Account number of customer's bank</t>
  </si>
  <si>
    <t>Type of bank account</t>
  </si>
  <si>
    <t>0-CURRENT, 1-SAVINGS, 2-CASH CREDIT, 3 - Others</t>
  </si>
  <si>
    <t>IFSC code of branch</t>
  </si>
  <si>
    <t>MICR Code of branch</t>
  </si>
  <si>
    <t>Maximum amount that can be charged</t>
  </si>
  <si>
    <t>Universal Mandate Reg Number</t>
  </si>
  <si>
    <t>Date of registration</t>
  </si>
  <si>
    <t>Date on which to start ACH billing</t>
  </si>
  <si>
    <t>Date on which to stop ACH billing</t>
  </si>
  <si>
    <t>Active mandate?</t>
  </si>
  <si>
    <t>Application number of mandate registration</t>
  </si>
  <si>
    <t>Status of registration</t>
  </si>
  <si>
    <t>Frequency of billing</t>
  </si>
  <si>
    <t>Bank code for biller</t>
  </si>
  <si>
    <t>ACH Utility code for biller</t>
  </si>
  <si>
    <t>Account holder first name</t>
  </si>
  <si>
    <t>First Name of customer as in bank account</t>
  </si>
  <si>
    <t>Account holder last name</t>
  </si>
  <si>
    <t>Last Name of customer as in bank account</t>
  </si>
  <si>
    <t>Character(500)</t>
  </si>
  <si>
    <t>Waiting for Acceptance report, Rejected, Verified,  Sent Back, Pending acceptance</t>
  </si>
  <si>
    <t>Phone#</t>
  </si>
  <si>
    <t>PDC number</t>
  </si>
  <si>
    <t>Cheque number</t>
  </si>
  <si>
    <t>Account number on cheque</t>
  </si>
  <si>
    <t>Bank name on cheque</t>
  </si>
  <si>
    <t>Branch name on cheque</t>
  </si>
  <si>
    <t>Cheque Date</t>
  </si>
  <si>
    <t>Cheque Amount</t>
  </si>
  <si>
    <t>Submission Date</t>
  </si>
  <si>
    <t>Status of submission</t>
  </si>
  <si>
    <t>Date of cheque</t>
  </si>
  <si>
    <t>Amount of cheque</t>
  </si>
  <si>
    <t>Date on which cheque was submitted</t>
  </si>
  <si>
    <t>Reason for rejection</t>
  </si>
  <si>
    <t>Date on which cheque was cleared</t>
  </si>
  <si>
    <t>Date on which cheque was rejected</t>
  </si>
  <si>
    <t xml:space="preserve"> For Assigned PDC</t>
  </si>
  <si>
    <t>Monthly, Quarterly, Half-yearly, Yearly, As-and-when-presented</t>
  </si>
  <si>
    <t>Following are the sheets to be provided for Migration</t>
  </si>
  <si>
    <t>Customer</t>
  </si>
  <si>
    <t>Provide all customer details in this sheet</t>
  </si>
  <si>
    <t>Provide all loan details in this sheet</t>
  </si>
  <si>
    <t>Demand</t>
  </si>
  <si>
    <t>Fee</t>
  </si>
  <si>
    <t>All due fees should be provided in this sheet. Historical paid fees can also be provided by setting due column to zero</t>
  </si>
  <si>
    <t>All due demands should be provided in this sheet. Historical paid demands can also be provided by setting due column to zero</t>
  </si>
  <si>
    <t>Loan</t>
  </si>
  <si>
    <t>Disbursement</t>
  </si>
  <si>
    <t>Historical disbursements can be provided here</t>
  </si>
  <si>
    <t>Historical repayments can be provided here</t>
  </si>
  <si>
    <t>ScheduleBalance</t>
  </si>
  <si>
    <t>Mandatory if due demands exist</t>
  </si>
  <si>
    <t>Mandatory if due fees exist</t>
  </si>
  <si>
    <t>Mandatory for Schedule Balance interest computation method</t>
  </si>
  <si>
    <t>Internal Ac Balance</t>
  </si>
  <si>
    <t>Required if any internal account balances (income, expense, cash...) accounts have to be migrated apart from loans</t>
  </si>
  <si>
    <t>PDC</t>
  </si>
  <si>
    <t>If there are assigned PDCs, these can be specified here</t>
  </si>
  <si>
    <t>ACHMandate</t>
  </si>
  <si>
    <t>If there are ACH Mandates, these can be specified here</t>
  </si>
  <si>
    <t>History Transaction</t>
  </si>
  <si>
    <t>If there are historical transactions, these can be specified here</t>
  </si>
  <si>
    <t>Sheet</t>
  </si>
  <si>
    <t>Mandatory/optional</t>
  </si>
  <si>
    <t>Description</t>
  </si>
  <si>
    <t>This is to be provided if loan products have 'Schedule Balance' as interest computation method instead of EOD Balance. These are usually derived from diminishing balance column of repayment schedule</t>
  </si>
  <si>
    <t>Provide Migration Date to be used as Current Working Date</t>
  </si>
  <si>
    <t>Date to be used as Current Working Date in the Application - usually date when migration data was extracted</t>
  </si>
  <si>
    <t>Current Working Date</t>
  </si>
  <si>
    <t>Readme &gt; Current working date</t>
  </si>
  <si>
    <t>Booked Comp Interest</t>
  </si>
  <si>
    <t>Compound Interest booked from start of loan booking</t>
  </si>
  <si>
    <t>Booked Not Due Comp Interest</t>
  </si>
  <si>
    <t>Comp interest accrued, not due</t>
  </si>
  <si>
    <t>Next Compounding Date</t>
  </si>
  <si>
    <t>Date of next compounding</t>
  </si>
  <si>
    <t>INSERT INTO `migrated_loan_accounts` (`tenant_code`,`account_id`,`customer_id`,`customer_id2`,`branch_code`,`product_code`,`operational_status`,`original_account_id`,`normal_interest_rate`, `penal_interest_rate`,`nominal_interest_rate`,`amount_magnitude`,`opened_on_date`,`closed_on_value_date`,`maturity_date`,`tenure_magnitude`,`tenure_unit`, `installment_amount_magnitude`,`booked_not_due_normal_interest_magnitude`,`booked_not_due_penal_interest_magnitude`, `total_disbursed_magnitude`,`balance_magnitude`,`last_booking_date`, `next_demand_schedule_date`, `first_disbursement_date`, `last_disbursement_date`, `first_repayment_date`, `demand_adjustment_magnitude`, `interest_adjustment_magnitude`,`security_deposit_magnitude`, `principal_write_off_magnitude`,`write_off_date`, `normal_interest_limit_magnitude`,`moratorium_period`, `booked_normal_interest_magnitude`,
`booked_penal_interest_magnitude`,`booked_compound_interest_magnitude`,`booked_not_due_compound_interest_magnitude`,`next_compounding_date`,`open_user_id`,`close_user_id`,`processed`) VALUES (</t>
  </si>
  <si>
    <t>Base Interest Rate</t>
  </si>
  <si>
    <t>Interest cap for loans with normal interest limt allowed</t>
  </si>
  <si>
    <t>Interest rate when normal interest rate basis is not the rate configured in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</si>
</sst>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yyyy/mm/dd;@"/>
    <numFmt numFmtId="165" formatCode="yyyy/mm/dd"/>
    <numFmt numFmtId="166" formatCode="dd\-mmm\-yy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1" xfId="0" applyFont="1" applyBorder="1"/>
    <xf numFmtId="0" fontId="2" fillId="0" borderId="0" xfId="0" applyFont="1"/>
    <xf numFmtId="0" fontId="0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1" xfId="0" applyFont="1" applyBorder="1"/>
    <xf numFmtId="0" fontId="2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NumberFormat="1" applyAlignment="1"/>
    <xf numFmtId="0" fontId="0" fillId="0" borderId="2" xfId="0" applyFont="1" applyFill="1" applyBorder="1" applyAlignment="1">
      <alignment wrapText="1"/>
    </xf>
    <xf numFmtId="14" fontId="0" fillId="0" borderId="0" xfId="0" applyNumberFormat="1"/>
    <xf numFmtId="49" fontId="0" fillId="0" borderId="0" xfId="0" applyNumberFormat="1"/>
    <xf numFmtId="0" fontId="5" fillId="0" borderId="0" xfId="1"/>
    <xf numFmtId="0" fontId="4" fillId="0" borderId="0" xfId="0" applyFont="1" applyAlignment="1">
      <alignment wrapText="1"/>
    </xf>
    <xf numFmtId="15" fontId="0" fillId="0" borderId="0" xfId="0" applyNumberFormat="1"/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1" xfId="0" applyFont="1" applyBorder="1" applyAlignment="1">
      <alignment wrapText="1"/>
    </xf>
    <xf numFmtId="166" fontId="6" fillId="0" borderId="1" xfId="0" applyNumberFormat="1" applyFont="1" applyBorder="1" applyAlignment="1">
      <alignment wrapText="1"/>
    </xf>
    <xf numFmtId="15" fontId="6" fillId="0" borderId="1" xfId="0" applyNumberFormat="1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0" fillId="0" borderId="1" xfId="0" applyBorder="1" applyAlignment="1"/>
    <xf numFmtId="0" fontId="7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/>
    </xf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/>
    <xf numFmtId="0" fontId="0" fillId="3" borderId="1" xfId="0" applyFill="1" applyBorder="1"/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@g.com" TargetMode="External"/><Relationship Id="rId1" Type="http://schemas.openxmlformats.org/officeDocument/2006/relationships/hyperlink" Target="mailto:s@g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C18" sqref="C18"/>
    </sheetView>
  </sheetViews>
  <sheetFormatPr defaultRowHeight="14.4" x14ac:dyDescent="0.3"/>
  <cols>
    <col min="1" max="1" width="22.6640625" customWidth="1"/>
    <col min="2" max="2" width="22.109375" customWidth="1"/>
    <col min="3" max="3" width="72.5546875" customWidth="1"/>
  </cols>
  <sheetData>
    <row r="1" spans="1:3" x14ac:dyDescent="0.3">
      <c r="A1" t="s">
        <v>335</v>
      </c>
    </row>
    <row r="2" spans="1:3" x14ac:dyDescent="0.3">
      <c r="A2" s="41" t="s">
        <v>359</v>
      </c>
      <c r="B2" s="41" t="s">
        <v>360</v>
      </c>
      <c r="C2" s="41" t="s">
        <v>361</v>
      </c>
    </row>
    <row r="3" spans="1:3" ht="28.8" x14ac:dyDescent="0.3">
      <c r="A3" s="13" t="s">
        <v>366</v>
      </c>
      <c r="B3" s="27" t="s">
        <v>22</v>
      </c>
      <c r="C3" s="27" t="s">
        <v>363</v>
      </c>
    </row>
    <row r="4" spans="1:3" x14ac:dyDescent="0.3">
      <c r="A4" s="27" t="s">
        <v>336</v>
      </c>
      <c r="B4" s="27" t="s">
        <v>22</v>
      </c>
      <c r="C4" s="27" t="s">
        <v>337</v>
      </c>
    </row>
    <row r="5" spans="1:3" x14ac:dyDescent="0.3">
      <c r="A5" s="27" t="s">
        <v>343</v>
      </c>
      <c r="B5" s="27" t="s">
        <v>22</v>
      </c>
      <c r="C5" s="27" t="s">
        <v>338</v>
      </c>
    </row>
    <row r="6" spans="1:3" ht="29.4" customHeight="1" x14ac:dyDescent="0.3">
      <c r="A6" s="27" t="s">
        <v>339</v>
      </c>
      <c r="B6" s="13" t="s">
        <v>348</v>
      </c>
      <c r="C6" s="13" t="s">
        <v>342</v>
      </c>
    </row>
    <row r="7" spans="1:3" ht="28.8" x14ac:dyDescent="0.3">
      <c r="A7" s="27" t="s">
        <v>340</v>
      </c>
      <c r="B7" s="13" t="s">
        <v>349</v>
      </c>
      <c r="C7" s="13" t="s">
        <v>341</v>
      </c>
    </row>
    <row r="8" spans="1:3" x14ac:dyDescent="0.3">
      <c r="A8" s="27" t="s">
        <v>344</v>
      </c>
      <c r="B8" s="27" t="s">
        <v>23</v>
      </c>
      <c r="C8" s="27" t="s">
        <v>345</v>
      </c>
    </row>
    <row r="9" spans="1:3" x14ac:dyDescent="0.3">
      <c r="A9" s="27" t="s">
        <v>245</v>
      </c>
      <c r="B9" s="27" t="s">
        <v>23</v>
      </c>
      <c r="C9" s="27" t="s">
        <v>346</v>
      </c>
    </row>
    <row r="10" spans="1:3" ht="45" customHeight="1" x14ac:dyDescent="0.3">
      <c r="A10" s="27" t="s">
        <v>347</v>
      </c>
      <c r="B10" s="13" t="s">
        <v>350</v>
      </c>
      <c r="C10" s="13" t="s">
        <v>362</v>
      </c>
    </row>
    <row r="11" spans="1:3" ht="28.8" x14ac:dyDescent="0.3">
      <c r="A11" s="27" t="s">
        <v>351</v>
      </c>
      <c r="B11" s="13" t="s">
        <v>23</v>
      </c>
      <c r="C11" s="13" t="s">
        <v>352</v>
      </c>
    </row>
    <row r="12" spans="1:3" x14ac:dyDescent="0.3">
      <c r="A12" s="27" t="s">
        <v>353</v>
      </c>
      <c r="B12" s="13" t="s">
        <v>23</v>
      </c>
      <c r="C12" s="13" t="s">
        <v>354</v>
      </c>
    </row>
    <row r="13" spans="1:3" x14ac:dyDescent="0.3">
      <c r="A13" s="27" t="s">
        <v>355</v>
      </c>
      <c r="B13" s="13" t="s">
        <v>23</v>
      </c>
      <c r="C13" s="13" t="s">
        <v>356</v>
      </c>
    </row>
    <row r="14" spans="1:3" x14ac:dyDescent="0.3">
      <c r="A14" s="27" t="s">
        <v>357</v>
      </c>
      <c r="B14" s="13" t="s">
        <v>23</v>
      </c>
      <c r="C14" s="13" t="s">
        <v>358</v>
      </c>
    </row>
    <row r="16" spans="1:3" x14ac:dyDescent="0.3">
      <c r="A16" s="44" t="s">
        <v>365</v>
      </c>
    </row>
    <row r="17" spans="1:1" x14ac:dyDescent="0.3">
      <c r="A17" s="43" t="s">
        <v>22</v>
      </c>
    </row>
    <row r="18" spans="1:1" ht="72" x14ac:dyDescent="0.3">
      <c r="A18" s="42" t="s">
        <v>364</v>
      </c>
    </row>
    <row r="19" spans="1:1" x14ac:dyDescent="0.3">
      <c r="A19" s="4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"/>
  <sheetViews>
    <sheetView topLeftCell="Q1" zoomScaleNormal="100" workbookViewId="0">
      <selection activeCell="W5" sqref="W5"/>
    </sheetView>
  </sheetViews>
  <sheetFormatPr defaultRowHeight="14.4" x14ac:dyDescent="0.3"/>
  <cols>
    <col min="1" max="1" width="15.33203125" customWidth="1"/>
    <col min="2" max="2" width="19.109375" customWidth="1"/>
    <col min="3" max="3" width="16.44140625" customWidth="1"/>
    <col min="4" max="5" width="17.33203125" customWidth="1"/>
    <col min="6" max="6" width="16" customWidth="1"/>
    <col min="7" max="11" width="14.21875" customWidth="1"/>
    <col min="12" max="12" width="12.44140625" customWidth="1"/>
    <col min="13" max="13" width="13.109375" customWidth="1"/>
    <col min="14" max="14" width="12.33203125" customWidth="1"/>
    <col min="15" max="15" width="16" customWidth="1"/>
    <col min="16" max="16" width="16.88671875" customWidth="1"/>
    <col min="17" max="17" width="16" customWidth="1"/>
    <col min="18" max="18" width="16.88671875" customWidth="1"/>
    <col min="19" max="20" width="20.6640625" customWidth="1"/>
    <col min="21" max="1033" width="8.5546875" customWidth="1"/>
  </cols>
  <sheetData>
    <row r="1" spans="1:25" s="2" customFormat="1" x14ac:dyDescent="0.3">
      <c r="A1" s="1" t="s">
        <v>0</v>
      </c>
      <c r="B1" s="1" t="s">
        <v>207</v>
      </c>
      <c r="C1" s="1" t="s">
        <v>7</v>
      </c>
      <c r="D1" s="1" t="s">
        <v>1</v>
      </c>
      <c r="E1" s="1" t="s">
        <v>193</v>
      </c>
      <c r="F1" s="1" t="s">
        <v>2</v>
      </c>
      <c r="G1" s="1" t="s">
        <v>197</v>
      </c>
      <c r="H1" s="1" t="s">
        <v>202</v>
      </c>
      <c r="I1" s="1" t="s">
        <v>203</v>
      </c>
      <c r="J1" s="1" t="s">
        <v>4</v>
      </c>
      <c r="K1" s="1" t="s">
        <v>198</v>
      </c>
      <c r="L1" s="1" t="s">
        <v>5</v>
      </c>
      <c r="M1" s="2" t="s">
        <v>10</v>
      </c>
      <c r="N1" s="1" t="s">
        <v>6</v>
      </c>
      <c r="O1" s="1" t="s">
        <v>8</v>
      </c>
      <c r="P1" s="6" t="s">
        <v>195</v>
      </c>
      <c r="Q1" s="1" t="s">
        <v>3</v>
      </c>
      <c r="R1" s="6" t="s">
        <v>204</v>
      </c>
      <c r="S1" s="1" t="s">
        <v>200</v>
      </c>
      <c r="T1" s="1" t="s">
        <v>201</v>
      </c>
      <c r="U1" s="1" t="s">
        <v>9</v>
      </c>
    </row>
    <row r="2" spans="1:25" s="4" customFormat="1" ht="28.8" x14ac:dyDescent="0.3">
      <c r="A2" s="3" t="s">
        <v>11</v>
      </c>
      <c r="B2" s="7" t="s">
        <v>209</v>
      </c>
      <c r="C2" s="3" t="s">
        <v>18</v>
      </c>
      <c r="D2" s="3" t="s">
        <v>12</v>
      </c>
      <c r="E2" s="7" t="s">
        <v>194</v>
      </c>
      <c r="F2" s="3" t="s">
        <v>13</v>
      </c>
      <c r="G2" s="3" t="s">
        <v>15</v>
      </c>
      <c r="H2" s="7" t="s">
        <v>15</v>
      </c>
      <c r="I2" s="7" t="s">
        <v>15</v>
      </c>
      <c r="J2" s="3" t="s">
        <v>16</v>
      </c>
      <c r="K2" s="7" t="s">
        <v>199</v>
      </c>
      <c r="L2" s="3" t="s">
        <v>17</v>
      </c>
      <c r="M2" s="3" t="s">
        <v>10</v>
      </c>
      <c r="N2" s="3" t="s">
        <v>6</v>
      </c>
      <c r="O2" s="3" t="s">
        <v>19</v>
      </c>
      <c r="P2" s="7" t="s">
        <v>196</v>
      </c>
      <c r="Q2" s="3" t="s">
        <v>14</v>
      </c>
      <c r="R2" s="7" t="s">
        <v>205</v>
      </c>
      <c r="S2" s="3" t="s">
        <v>20</v>
      </c>
      <c r="T2" s="7" t="s">
        <v>20</v>
      </c>
      <c r="U2" s="3" t="s">
        <v>21</v>
      </c>
    </row>
    <row r="3" spans="1:25" x14ac:dyDescent="0.3">
      <c r="A3" s="3" t="s">
        <v>22</v>
      </c>
      <c r="B3" s="7" t="s">
        <v>22</v>
      </c>
      <c r="C3" s="3" t="s">
        <v>22</v>
      </c>
      <c r="D3" s="5" t="s">
        <v>22</v>
      </c>
      <c r="E3" s="9" t="s">
        <v>23</v>
      </c>
      <c r="F3" s="5" t="s">
        <v>22</v>
      </c>
      <c r="G3" s="5" t="s">
        <v>23</v>
      </c>
      <c r="H3" s="9" t="s">
        <v>23</v>
      </c>
      <c r="I3" s="9" t="s">
        <v>23</v>
      </c>
      <c r="J3" s="5" t="s">
        <v>22</v>
      </c>
      <c r="K3" s="9" t="s">
        <v>22</v>
      </c>
      <c r="L3" s="5" t="s">
        <v>22</v>
      </c>
      <c r="M3" s="5" t="s">
        <v>22</v>
      </c>
      <c r="N3" s="5" t="s">
        <v>22</v>
      </c>
      <c r="O3" s="5" t="s">
        <v>23</v>
      </c>
      <c r="P3" s="7" t="s">
        <v>23</v>
      </c>
      <c r="Q3" s="5" t="s">
        <v>23</v>
      </c>
      <c r="R3" s="7" t="s">
        <v>23</v>
      </c>
      <c r="S3" s="5" t="s">
        <v>23</v>
      </c>
      <c r="T3" s="9" t="s">
        <v>23</v>
      </c>
      <c r="U3" s="5" t="s">
        <v>23</v>
      </c>
    </row>
    <row r="4" spans="1:25" ht="28.8" x14ac:dyDescent="0.3">
      <c r="A4" s="5" t="s">
        <v>24</v>
      </c>
      <c r="B4" s="9" t="s">
        <v>24</v>
      </c>
      <c r="C4" s="5" t="s">
        <v>30</v>
      </c>
      <c r="D4" s="5" t="s">
        <v>25</v>
      </c>
      <c r="E4" s="9" t="s">
        <v>25</v>
      </c>
      <c r="F4" s="5" t="s">
        <v>25</v>
      </c>
      <c r="G4" s="5" t="s">
        <v>27</v>
      </c>
      <c r="H4" s="9" t="s">
        <v>27</v>
      </c>
      <c r="I4" s="9" t="s">
        <v>27</v>
      </c>
      <c r="J4" s="5" t="s">
        <v>28</v>
      </c>
      <c r="K4" s="9" t="s">
        <v>28</v>
      </c>
      <c r="L4" s="5" t="s">
        <v>28</v>
      </c>
      <c r="M4" s="5" t="s">
        <v>28</v>
      </c>
      <c r="N4" s="5" t="s">
        <v>29</v>
      </c>
      <c r="O4" s="3" t="s">
        <v>247</v>
      </c>
      <c r="P4" s="9" t="s">
        <v>88</v>
      </c>
      <c r="Q4" s="3" t="s">
        <v>26</v>
      </c>
      <c r="R4" s="9" t="s">
        <v>206</v>
      </c>
      <c r="S4" s="5" t="s">
        <v>31</v>
      </c>
      <c r="T4" s="9" t="s">
        <v>31</v>
      </c>
      <c r="U4" s="5" t="s">
        <v>32</v>
      </c>
    </row>
    <row r="5" spans="1:25" x14ac:dyDescent="0.3">
      <c r="A5">
        <v>12345678</v>
      </c>
      <c r="B5">
        <v>3333</v>
      </c>
      <c r="C5" t="s">
        <v>237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218</v>
      </c>
      <c r="M5" t="s">
        <v>219</v>
      </c>
      <c r="N5">
        <v>560021</v>
      </c>
      <c r="O5" t="s">
        <v>220</v>
      </c>
      <c r="P5" s="17">
        <v>33324</v>
      </c>
      <c r="Q5" t="s">
        <v>221</v>
      </c>
      <c r="R5" s="17" t="s">
        <v>222</v>
      </c>
      <c r="S5">
        <v>33225423</v>
      </c>
      <c r="T5">
        <v>332341</v>
      </c>
      <c r="U5" s="23" t="s">
        <v>223</v>
      </c>
      <c r="V5" s="19" t="s">
        <v>210</v>
      </c>
      <c r="W5" t="str">
        <f>"'NBFC1',"&amp;IF(ISBLANK(A5),"null,","'"&amp;TRIM(A5)&amp;"',")&amp;IF(ISBLANK(B5),"null,","'"&amp;TRIM(B5)&amp;"',")&amp;IF(ISBLANK(C5),"null,","'"&amp;TRIM(C5)&amp;"',")&amp;IF(ISBLANK(D5),"null,","'"&amp;TRIM(D5)&amp;"',")&amp;IF(ISBLANK(E5),"null,","'"&amp;TRIM(E5)&amp;"',")&amp;IF(ISBLANK(F5),"null,","'"&amp;TRIM(F5)&amp;"',")&amp;IF(ISBLANK(G5),"null,","'"&amp;TRIM(G5)&amp;"',")&amp;IF(ISBLANK(H5),"null,","'"&amp;TRIM(H5)&amp;"',")&amp;IF(ISBLANK(I5),"null,","'"&amp;TRIM(I5)&amp;"',")&amp;IF(ISBLANK(J5),"null,","'"&amp;TRIM(J5)&amp;"',")&amp;IF(ISBLANK(K5),"null,","'"&amp;TRIM(K5)&amp;"',")&amp;IF(ISBLANK(L5),"null,","'"&amp;TRIM(L5)&amp;"',")&amp;IF(ISBLANK(M5),"null,","'"&amp;TRIM(M5)&amp;"',")&amp;IF(ISBLANK(N5),"null,","'"&amp;TRIM(N5)&amp;"',")&amp;IF(ISBLANK(O5),"null,","'"&amp;TRIM(O5)&amp;"',")&amp;IF(ISBLANK(P5),"null,","'"&amp;TEXT(TRIM(P5),"yyyy-mm-dd")&amp;"',")&amp;IF(ISBLANK(Q5),"null,","'"&amp;TRIM(Q5)&amp;"',")&amp;IF(ISBLANK(R5),"null,","'"&amp;TRIM(R5)&amp;"',")&amp;IF(ISBLANK(S5),"null,","'"&amp;TRIM(S5)&amp;"',")&amp;IF(ISBLANK(T5),"null,","'"&amp;TRIM(T5)&amp;"',")&amp;IF(ISBLANK(U5),"null,","'"&amp;TRIM(U5)&amp;"',")&amp;"'0'"</f>
        <v>'NBFC1','12345678','3333','HO','Jones','S','Doe','A1','A2','A3','BLR',null,'KA','IN','560021','INDIVIDUAL','1991-03-27','Male','Indian','33225423','332341','s@g.com','0'</v>
      </c>
      <c r="X5" t="s">
        <v>179</v>
      </c>
      <c r="Y5" t="str">
        <f>CONCATENATE(V5,W5,X5)</f>
        <v>INSERT INTO `migrated_customers` (`tenant_code`,`customer_id`,`original_customer_id`,`branch_code`,`first_name`,`middle_name`,`last_name`,`address1`,`address2`,`address3`,`city_code`,`district_code`,`state_code`,`country_code`,`pin_code`,`customer_type`,`date_of_birth`,`gender`,`nationality`,`phone1`,`phone2`,`email`,`processed`) VALUES ('NBFC1','12345678','3333','HO','Jones','S','Doe','A1','A2','A3','BLR',null,'KA','IN','560021','INDIVIDUAL','1991-03-27','Male','Indian','33225423','332341','s@g.com','0');</v>
      </c>
    </row>
    <row r="6" spans="1:25" x14ac:dyDescent="0.3">
      <c r="A6">
        <v>12345679</v>
      </c>
      <c r="B6">
        <v>3333</v>
      </c>
      <c r="C6" t="s">
        <v>237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218</v>
      </c>
      <c r="M6" t="s">
        <v>219</v>
      </c>
      <c r="N6">
        <v>560021</v>
      </c>
      <c r="O6" t="s">
        <v>220</v>
      </c>
      <c r="P6" s="17">
        <v>33324</v>
      </c>
      <c r="Q6" t="s">
        <v>221</v>
      </c>
      <c r="R6" s="17" t="s">
        <v>222</v>
      </c>
      <c r="S6">
        <v>33225423</v>
      </c>
      <c r="T6">
        <v>332341</v>
      </c>
      <c r="U6" s="23" t="s">
        <v>223</v>
      </c>
      <c r="V6" s="19" t="s">
        <v>210</v>
      </c>
      <c r="W6" t="str">
        <f>"'NBFC1',"&amp;IF(ISBLANK(A6),"null,","'"&amp;TRIM(A6)&amp;"',")&amp;IF(ISBLANK(B6),"null,","'"&amp;TRIM(B6)&amp;"',")&amp;IF(ISBLANK(C6),"null,","'"&amp;TRIM(C6)&amp;"',")&amp;IF(ISBLANK(D6),"null,","'"&amp;TRIM(D6)&amp;"',")&amp;IF(ISBLANK(E6),"null,","'"&amp;TRIM(E6)&amp;"',")&amp;IF(ISBLANK(F6),"null,","'"&amp;TRIM(F6)&amp;"',")&amp;IF(ISBLANK(G6),"null,","'"&amp;TRIM(G6)&amp;"',")&amp;IF(ISBLANK(H6),"null,","'"&amp;TRIM(H6)&amp;"',")&amp;IF(ISBLANK(I6),"null,","'"&amp;TRIM(I6)&amp;"',")&amp;IF(ISBLANK(J6),"null,","'"&amp;TRIM(J6)&amp;"',")&amp;IF(ISBLANK(K6),"null,","'"&amp;TRIM(K6)&amp;"',")&amp;IF(ISBLANK(L6),"null,","'"&amp;TRIM(L6)&amp;"',")&amp;IF(ISBLANK(M6),"null,","'"&amp;TRIM(M6)&amp;"',")&amp;IF(ISBLANK(N6),"null,","'"&amp;TRIM(N6)&amp;"',")&amp;IF(ISBLANK(O6),"null,","'"&amp;TRIM(O6)&amp;"',")&amp;IF(ISBLANK(P6),"null,","'"&amp;TEXT(TRIM(P6),"yyyy-mm-dd")&amp;"',")&amp;IF(ISBLANK(Q6),"null,","'"&amp;TRIM(Q6)&amp;"',")&amp;IF(ISBLANK(R6),"null,","'"&amp;TRIM(R6)&amp;"',")&amp;IF(ISBLANK(S6),"null,","'"&amp;TRIM(S6)&amp;"',")&amp;IF(ISBLANK(T6),"null,","'"&amp;TRIM(T6)&amp;"',")&amp;IF(ISBLANK(U6),"null,","'"&amp;TRIM(U6)&amp;"',")&amp;"'0'"</f>
        <v>'NBFC1','12345679','3333','HO','Jones','S','Doe','A1','A2','A3','BLR',null,'KA','IN','560021','INDIVIDUAL','1991-03-27','Male','Indian','33225423','332341','s@g.com','0'</v>
      </c>
      <c r="X6" t="s">
        <v>179</v>
      </c>
      <c r="Y6" t="str">
        <f>CONCATENATE(V6,W6,X6)</f>
        <v>INSERT INTO `migrated_customers` (`tenant_code`,`customer_id`,`original_customer_id`,`branch_code`,`first_name`,`middle_name`,`last_name`,`address1`,`address2`,`address3`,`city_code`,`district_code`,`state_code`,`country_code`,`pin_code`,`customer_type`,`date_of_birth`,`gender`,`nationality`,`phone1`,`phone2`,`email`,`processed`) VALUES ('NBFC1','12345679','3333','HO','Jones','S','Doe','A1','A2','A3','BLR',null,'KA','IN','560021','INDIVIDUAL','1991-03-27','Male','Indian','33225423','332341','s@g.com','0');</v>
      </c>
    </row>
  </sheetData>
  <hyperlinks>
    <hyperlink ref="U5" r:id="rId1" xr:uid="{00000000-0004-0000-0100-000000000000}"/>
    <hyperlink ref="U6" r:id="rId2" xr:uid="{00000000-0004-0000-0100-000001000000}"/>
  </hyperlinks>
  <pageMargins left="0.7" right="0.7" top="0.75" bottom="0.75" header="0.51180555555555496" footer="0.51180555555555496"/>
  <pageSetup firstPageNumber="0" orientation="portrait" horizontalDpi="300" verticalDpi="30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8"/>
  <sheetViews>
    <sheetView tabSelected="1" topLeftCell="G1" zoomScaleNormal="100" workbookViewId="0">
      <selection activeCell="J2" sqref="J2"/>
    </sheetView>
  </sheetViews>
  <sheetFormatPr defaultRowHeight="14.4" x14ac:dyDescent="0.3"/>
  <cols>
    <col min="1" max="1" width="14.6640625" customWidth="1"/>
    <col min="2" max="2" width="11.109375" customWidth="1"/>
    <col min="3" max="3" width="13" customWidth="1"/>
    <col min="4" max="4" width="23.6640625" customWidth="1"/>
    <col min="5" max="5" width="19.33203125" customWidth="1"/>
    <col min="6" max="6" width="13.33203125" customWidth="1"/>
    <col min="7" max="7" width="9.6640625" customWidth="1"/>
    <col min="8" max="8" width="18.33203125" customWidth="1"/>
    <col min="9" max="10" width="16.5546875" customWidth="1"/>
    <col min="11" max="11" width="11.88671875" customWidth="1"/>
    <col min="12" max="12" width="16.88671875" customWidth="1"/>
    <col min="13" max="13" width="17" customWidth="1"/>
    <col min="14" max="14" width="12.109375" customWidth="1"/>
    <col min="15" max="15" width="17.6640625" customWidth="1"/>
    <col min="16" max="16" width="17.109375" customWidth="1"/>
    <col min="17" max="17" width="20.5546875" customWidth="1"/>
    <col min="18" max="18" width="20" customWidth="1"/>
    <col min="19" max="19" width="15.33203125" customWidth="1"/>
    <col min="20" max="20" width="13.6640625" customWidth="1"/>
    <col min="21" max="21" width="13.44140625" customWidth="1"/>
    <col min="22" max="22" width="15.6640625" customWidth="1"/>
    <col min="23" max="23" width="25.5546875" customWidth="1"/>
    <col min="24" max="26" width="16.6640625" customWidth="1"/>
    <col min="27" max="29" width="19.33203125" customWidth="1"/>
    <col min="30" max="30" width="8.5546875" customWidth="1"/>
    <col min="31" max="31" width="12.5546875" customWidth="1"/>
    <col min="32" max="32" width="14.88671875" customWidth="1"/>
    <col min="33" max="33" width="12.88671875" customWidth="1"/>
    <col min="34" max="36" width="12.6640625" customWidth="1"/>
    <col min="37" max="37" width="20" customWidth="1"/>
    <col min="38" max="38" width="14.109375" customWidth="1"/>
    <col min="39" max="1021" width="8.5546875" customWidth="1"/>
  </cols>
  <sheetData>
    <row r="1" spans="1:50" s="2" customFormat="1" ht="43.2" x14ac:dyDescent="0.3">
      <c r="A1" s="1" t="s">
        <v>33</v>
      </c>
      <c r="B1" s="1" t="s">
        <v>0</v>
      </c>
      <c r="C1" s="1" t="s">
        <v>163</v>
      </c>
      <c r="D1" s="1" t="s">
        <v>7</v>
      </c>
      <c r="E1" s="6" t="s">
        <v>169</v>
      </c>
      <c r="F1" s="1" t="s">
        <v>34</v>
      </c>
      <c r="G1" s="6" t="s">
        <v>208</v>
      </c>
      <c r="H1" s="6" t="s">
        <v>35</v>
      </c>
      <c r="I1" s="6" t="s">
        <v>36</v>
      </c>
      <c r="J1" s="6" t="s">
        <v>374</v>
      </c>
      <c r="K1" s="6" t="s">
        <v>37</v>
      </c>
      <c r="L1" s="6" t="s">
        <v>38</v>
      </c>
      <c r="M1" s="6" t="s">
        <v>39</v>
      </c>
      <c r="N1" s="6" t="s">
        <v>40</v>
      </c>
      <c r="O1" s="6" t="s">
        <v>41</v>
      </c>
      <c r="P1" s="6" t="s">
        <v>42</v>
      </c>
      <c r="Q1" s="6" t="s">
        <v>43</v>
      </c>
      <c r="R1" s="6" t="s">
        <v>44</v>
      </c>
      <c r="S1" s="6" t="s">
        <v>45</v>
      </c>
      <c r="T1" s="6" t="s">
        <v>46</v>
      </c>
      <c r="U1" s="6" t="s">
        <v>47</v>
      </c>
      <c r="V1" s="6" t="s">
        <v>48</v>
      </c>
      <c r="W1" s="6" t="s">
        <v>49</v>
      </c>
      <c r="X1" s="6" t="s">
        <v>50</v>
      </c>
      <c r="Y1" s="6" t="s">
        <v>51</v>
      </c>
      <c r="Z1" s="6" t="s">
        <v>52</v>
      </c>
      <c r="AA1" s="6" t="s">
        <v>165</v>
      </c>
      <c r="AB1" s="6" t="s">
        <v>166</v>
      </c>
      <c r="AC1" s="6" t="s">
        <v>167</v>
      </c>
      <c r="AD1" s="6" t="s">
        <v>53</v>
      </c>
      <c r="AE1" s="6" t="s">
        <v>54</v>
      </c>
      <c r="AF1" s="6" t="s">
        <v>177</v>
      </c>
      <c r="AG1" s="6" t="s">
        <v>168</v>
      </c>
      <c r="AH1" s="14" t="s">
        <v>55</v>
      </c>
      <c r="AI1" s="14" t="s">
        <v>158</v>
      </c>
      <c r="AJ1" s="14" t="s">
        <v>367</v>
      </c>
      <c r="AK1" s="6" t="s">
        <v>369</v>
      </c>
      <c r="AL1" s="6" t="s">
        <v>371</v>
      </c>
      <c r="AM1" s="14" t="s">
        <v>56</v>
      </c>
      <c r="AN1" s="14" t="s">
        <v>160</v>
      </c>
    </row>
    <row r="2" spans="1:50" s="4" customFormat="1" ht="57" customHeight="1" x14ac:dyDescent="0.3">
      <c r="A2" s="3" t="s">
        <v>57</v>
      </c>
      <c r="B2" s="3" t="s">
        <v>58</v>
      </c>
      <c r="C2" s="7" t="s">
        <v>164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7" t="s">
        <v>376</v>
      </c>
      <c r="K2" s="3" t="s">
        <v>65</v>
      </c>
      <c r="L2" s="3" t="s">
        <v>66</v>
      </c>
      <c r="M2" s="3" t="s">
        <v>67</v>
      </c>
      <c r="N2" s="3" t="s">
        <v>40</v>
      </c>
      <c r="O2" s="3" t="s">
        <v>68</v>
      </c>
      <c r="P2" s="3" t="s">
        <v>42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53</v>
      </c>
      <c r="AE2" s="3" t="s">
        <v>82</v>
      </c>
      <c r="AF2" s="3" t="s">
        <v>375</v>
      </c>
      <c r="AG2" s="3" t="s">
        <v>83</v>
      </c>
      <c r="AH2" s="13" t="s">
        <v>151</v>
      </c>
      <c r="AI2" s="13" t="s">
        <v>159</v>
      </c>
      <c r="AJ2" s="13" t="s">
        <v>368</v>
      </c>
      <c r="AK2" s="13" t="s">
        <v>370</v>
      </c>
      <c r="AL2" s="7" t="s">
        <v>372</v>
      </c>
      <c r="AM2" s="13" t="s">
        <v>162</v>
      </c>
      <c r="AN2" s="13" t="s">
        <v>161</v>
      </c>
    </row>
    <row r="3" spans="1:50" s="4" customFormat="1" ht="28.8" x14ac:dyDescent="0.3">
      <c r="A3" s="3" t="s">
        <v>22</v>
      </c>
      <c r="B3" s="3" t="s">
        <v>22</v>
      </c>
      <c r="C3" s="7" t="s">
        <v>23</v>
      </c>
      <c r="D3" s="3" t="s">
        <v>22</v>
      </c>
      <c r="E3" s="3" t="s">
        <v>22</v>
      </c>
      <c r="F3" s="3" t="s">
        <v>22</v>
      </c>
      <c r="G3" s="3" t="s">
        <v>23</v>
      </c>
      <c r="H3" s="3" t="s">
        <v>23</v>
      </c>
      <c r="I3" s="3" t="s">
        <v>23</v>
      </c>
      <c r="J3" s="7" t="s">
        <v>23</v>
      </c>
      <c r="K3" s="3" t="s">
        <v>22</v>
      </c>
      <c r="L3" s="3" t="s">
        <v>22</v>
      </c>
      <c r="M3" s="3" t="s">
        <v>23</v>
      </c>
      <c r="N3" s="3" t="s">
        <v>22</v>
      </c>
      <c r="O3" s="3" t="s">
        <v>22</v>
      </c>
      <c r="P3" s="3" t="s">
        <v>22</v>
      </c>
      <c r="Q3" s="3" t="s">
        <v>84</v>
      </c>
      <c r="R3" s="3" t="s">
        <v>23</v>
      </c>
      <c r="S3" s="3" t="s">
        <v>23</v>
      </c>
      <c r="T3" s="3" t="s">
        <v>23</v>
      </c>
      <c r="U3" s="3" t="s">
        <v>22</v>
      </c>
      <c r="V3" s="3" t="s">
        <v>23</v>
      </c>
      <c r="W3" s="3" t="s">
        <v>22</v>
      </c>
      <c r="X3" s="3" t="s">
        <v>23</v>
      </c>
      <c r="Y3" s="3" t="s">
        <v>23</v>
      </c>
      <c r="Z3" s="3" t="s">
        <v>23</v>
      </c>
      <c r="AA3" s="3" t="s">
        <v>23</v>
      </c>
      <c r="AB3" s="3" t="s">
        <v>23</v>
      </c>
      <c r="AC3" s="3" t="s">
        <v>23</v>
      </c>
      <c r="AD3" s="3" t="s">
        <v>23</v>
      </c>
      <c r="AE3" s="3" t="s">
        <v>23</v>
      </c>
      <c r="AF3" s="3" t="s">
        <v>23</v>
      </c>
      <c r="AG3" s="3" t="s">
        <v>23</v>
      </c>
      <c r="AH3" s="7" t="s">
        <v>23</v>
      </c>
      <c r="AI3" s="7" t="s">
        <v>23</v>
      </c>
      <c r="AJ3" s="13" t="s">
        <v>23</v>
      </c>
      <c r="AK3" s="13" t="s">
        <v>23</v>
      </c>
      <c r="AL3" s="7" t="s">
        <v>22</v>
      </c>
      <c r="AM3" s="13" t="s">
        <v>23</v>
      </c>
      <c r="AN3" s="13" t="s">
        <v>23</v>
      </c>
    </row>
    <row r="4" spans="1:50" ht="86.4" x14ac:dyDescent="0.3">
      <c r="A4" s="5" t="s">
        <v>24</v>
      </c>
      <c r="B4" s="5" t="s">
        <v>24</v>
      </c>
      <c r="C4" s="9" t="s">
        <v>24</v>
      </c>
      <c r="D4" s="5" t="s">
        <v>85</v>
      </c>
      <c r="E4" s="5" t="s">
        <v>85</v>
      </c>
      <c r="F4" s="3" t="s">
        <v>240</v>
      </c>
      <c r="G4" s="5"/>
      <c r="H4" s="5" t="s">
        <v>86</v>
      </c>
      <c r="I4" s="5" t="s">
        <v>86</v>
      </c>
      <c r="J4" s="9" t="s">
        <v>86</v>
      </c>
      <c r="K4" s="5" t="s">
        <v>87</v>
      </c>
      <c r="L4" s="5" t="s">
        <v>88</v>
      </c>
      <c r="M4" s="5" t="s">
        <v>88</v>
      </c>
      <c r="N4" s="5" t="s">
        <v>88</v>
      </c>
      <c r="O4" s="5" t="s">
        <v>89</v>
      </c>
      <c r="P4" s="3" t="s">
        <v>90</v>
      </c>
      <c r="Q4" s="5" t="s">
        <v>87</v>
      </c>
      <c r="R4" s="5" t="s">
        <v>87</v>
      </c>
      <c r="S4" s="5" t="s">
        <v>87</v>
      </c>
      <c r="T4" s="5" t="s">
        <v>87</v>
      </c>
      <c r="U4" s="5" t="s">
        <v>87</v>
      </c>
      <c r="V4" s="5" t="s">
        <v>88</v>
      </c>
      <c r="W4" s="5" t="s">
        <v>88</v>
      </c>
      <c r="X4" s="5" t="s">
        <v>88</v>
      </c>
      <c r="Y4" s="5" t="s">
        <v>88</v>
      </c>
      <c r="Z4" s="5" t="s">
        <v>88</v>
      </c>
      <c r="AA4" s="5" t="s">
        <v>87</v>
      </c>
      <c r="AB4" s="5" t="s">
        <v>87</v>
      </c>
      <c r="AC4" s="5" t="s">
        <v>87</v>
      </c>
      <c r="AD4" s="5" t="s">
        <v>87</v>
      </c>
      <c r="AE4" s="5" t="s">
        <v>88</v>
      </c>
      <c r="AF4" s="5" t="s">
        <v>87</v>
      </c>
      <c r="AG4" s="7" t="s">
        <v>89</v>
      </c>
      <c r="AH4" s="9" t="s">
        <v>87</v>
      </c>
      <c r="AI4" s="9" t="s">
        <v>87</v>
      </c>
      <c r="AJ4" s="27" t="s">
        <v>87</v>
      </c>
      <c r="AK4" s="27" t="s">
        <v>87</v>
      </c>
      <c r="AL4" s="9" t="s">
        <v>88</v>
      </c>
      <c r="AM4" s="9" t="s">
        <v>92</v>
      </c>
      <c r="AN4" s="9" t="s">
        <v>92</v>
      </c>
    </row>
    <row r="5" spans="1:50" x14ac:dyDescent="0.3">
      <c r="A5">
        <v>122611022018</v>
      </c>
      <c r="B5">
        <v>12345678</v>
      </c>
      <c r="D5" t="s">
        <v>237</v>
      </c>
      <c r="E5" t="s">
        <v>238</v>
      </c>
      <c r="F5">
        <v>0</v>
      </c>
      <c r="H5">
        <v>20</v>
      </c>
      <c r="I5">
        <v>22</v>
      </c>
      <c r="J5">
        <v>0</v>
      </c>
      <c r="K5">
        <v>15000</v>
      </c>
      <c r="L5" s="17">
        <v>43186</v>
      </c>
      <c r="M5" s="17"/>
      <c r="N5" s="17">
        <v>43370</v>
      </c>
      <c r="O5">
        <v>6</v>
      </c>
      <c r="P5" t="s">
        <v>181</v>
      </c>
      <c r="Q5">
        <v>2678</v>
      </c>
      <c r="R5">
        <v>1</v>
      </c>
      <c r="S5">
        <v>2</v>
      </c>
      <c r="T5">
        <v>15000</v>
      </c>
      <c r="U5">
        <v>12979</v>
      </c>
      <c r="V5" s="17">
        <v>43277</v>
      </c>
      <c r="W5" s="17">
        <v>43308</v>
      </c>
      <c r="X5" s="17">
        <v>43186</v>
      </c>
      <c r="Y5" s="17">
        <v>43186</v>
      </c>
      <c r="Z5" s="17">
        <v>43217</v>
      </c>
      <c r="AA5">
        <v>0</v>
      </c>
      <c r="AB5">
        <v>0</v>
      </c>
      <c r="AC5">
        <v>100</v>
      </c>
      <c r="AD5">
        <v>0</v>
      </c>
      <c r="AE5" s="17"/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17"/>
      <c r="AM5" t="s">
        <v>239</v>
      </c>
      <c r="AO5" s="19" t="s">
        <v>373</v>
      </c>
      <c r="AP5" t="str">
        <f>"'NBFC1',"&amp;IF(ISBLANK(A5),"null,","'"&amp;TRIM(A5)&amp;"',")&amp;IF(ISBLANK(B5),"null,","'"&amp;TRIM(B5)&amp;"',")&amp;IF(ISBLANK(C5),"null,","'"&amp;TRIM(C5)&amp;"',")&amp;IF(ISBLANK(D5),"null,","'"&amp;TRIM(D5)&amp;"',")&amp;IF(ISBLANK(E5),"null,","'"&amp;TRIM(E5)&amp;"',")&amp;IF(ISBLANK(F5),"'0',","'"&amp;TRIM(F5)&amp;"',")&amp;IF(ISBLANK(G5),"null,","'"&amp;TRIM(G5)&amp;"',")&amp;IF(ISBLANK(H5),"'0',","'"&amp;TRIM(H5)&amp;"',")&amp;IF(ISBLANK(I5),"'0',","'"&amp;TRIM(I5)&amp;"',")&amp;IF(ISBLANK(J5),"'0',","'"&amp;TRIM(J5)&amp;"',")&amp;IF(ISBLANK(K5),"'0',","'"&amp;TRIM(K5)&amp;"',")&amp;IF(ISBLANK(L5),"null,","'"&amp;TEXT(TRIM(L5),"yyyy-mm-dd")&amp;"',")&amp;IF(ISBLANK(M5),"null,","'"&amp;TEXT(TRIM(M5),"yyyy-mm-dd")&amp;"',")&amp;IF(ISBLANK(N5),"null,","'"&amp;TEXT(TRIM(N5),"yyyy-mm-dd")&amp;"',")&amp;IF(ISBLANK(O5),"null,","'"&amp;TRIM(O5)&amp;"',")&amp;IF(ISBLANK(P5),"null,","'"&amp;TRIM(P5)&amp;"',")&amp;IF(ISBLANK(Q5),"'0',","'"&amp;TRIM(Q5)&amp;"',")&amp;IF(ISBLANK(R5),"'0',","'"&amp;TRIM(R5)&amp;"',")&amp;IF(ISBLANK(S5),"'0',","'"&amp;TRIM(S5)&amp;"',")&amp;IF(ISBLANK(T5),"'0',","'"&amp;TRIM(T5)&amp;"',")&amp;IF(ISBLANK(U5),"'0',","'"&amp;TRIM(U5)&amp;"',")&amp;IF(ISBLANK(V5),"null,","'"&amp;TEXT(TRIM(V5),"yyyy-mm-dd")&amp;"',")&amp;IF(ISBLANK(W5),"null,","'"&amp;TEXT(TRIM(W5),"yyyy-mm-dd")&amp;"',")&amp;IF(ISBLANK(X5),"null,","'"&amp;TEXT(TRIM(X5),"yyyy-mm-dd")&amp;"',")&amp;IF(ISBLANK(Y5),"null,","'"&amp;TEXT(TRIM(Y5),"yyyy-mm-dd")&amp;"',")&amp;IF(ISBLANK(Z5),"null,","'"&amp;TEXT(TRIM(Z5),"yyyy-mm-dd")&amp;"',")&amp;IF(ISBLANK(AA5),"null,","'"&amp;TRIM(AA5)&amp;"',")&amp;IF(ISBLANK(AB5),"'0',","'"&amp;TRIM(AB5)&amp;"',")&amp;IF(ISBLANK(AC5),"'0',","'"&amp;TRIM(AC5)&amp;"',")&amp;IF(ISBLANK(AD5),"'0',","'"&amp;TRIM(AD5)&amp;"',")&amp;IF(ISBLANK(AE5),"null,","'"&amp;TEXT(TRIM(AE5),"yyyy-mm-dd")&amp;"',")&amp;IF(ISBLANK(AF5),"'0',","'"&amp;TRIM(AF5)&amp;"',")&amp;IF(ISBLANK(AG5),"'0',","'"&amp;TRIM(AG5)&amp;"',")&amp;IF(ISBLANK(AH5),"'0',","'"&amp;TRIM(AH5)&amp;"',")&amp;IF(ISBLANK(AI5),"'0',","'"&amp;TRIM(AI5)&amp;"',")&amp;IF(ISBLANK(AM5),"null,","'"&amp;TRIM(AM5)&amp;"',")&amp;IF(ISBLANK(AN5),"null,","'"&amp;TRIM(AN5)&amp;"',")&amp;"'0'"</f>
        <v>'NBFC1','122611022018','12345678',null,'HO','ELCFD','0',null,'20','22','0','15000','2018-03-27',null,'2018-09-27','6','MONTH','2678','1','2','15000','12979','2018-06-26','2018-07-27','2018-03-27','2018-03-27','2018-04-27','0','0','100','0',null,'0','0','0','0','admin',null,'0'</v>
      </c>
      <c r="AQ5" t="s">
        <v>179</v>
      </c>
      <c r="AR5" s="15" t="str">
        <f>CONCATENATE(AO5,AP5,AQ5)</f>
        <v>INSERT INTO `migrated_loan_accounts` (`tenant_code`,`account_id`,`customer_id`,`customer_id2`,`branch_code`,`product_code`,`operational_status`,`original_account_id`,`normal_interest_rate`, `penal_interest_rate`,`nominal_interest_rate`,`amount_magnitude`,`opened_on_date`,`closed_on_value_date`,`maturity_date`,`tenure_magnitude`,`tenure_unit`, `installment_amount_magnitude`,`booked_not_due_normal_interest_magnitude`,`booked_not_due_penal_interest_magnitude`, `total_disbursed_magnitude`,`balance_magnitude`,`last_booking_date`, `next_demand_schedule_date`, `first_disbursement_date`, `last_disbursement_date`, `first_repayment_date`, `demand_adjustment_magnitude`, `interest_adjustment_magnitude`,`security_deposit_magnitude`, `principal_write_off_magnitude`,`write_off_date`, `normal_interest_limit_magnitude`,`moratorium_period`, `booked_normal_interest_magnitude`,
`booked_penal_interest_magnitude`,`booked_compound_interest_magnitude`,`booked_not_due_compound_interest_magnitude`,`next_compounding_date`,`open_user_id`,`close_user_id`,`processed`) VALUES ('NBFC1','122611022018','12345678',null,'HO','ELCFD','0',null,'20','22','0','15000','2018-03-27',null,'2018-09-27','6','MONTH','2678','1','2','15000','12979','2018-06-26','2018-07-27','2018-03-27','2018-03-27','2018-04-27','0','0','100','0',null,'0','0','0','0','admin',null,'0');</v>
      </c>
      <c r="AW5" s="18"/>
      <c r="AX5" s="18"/>
    </row>
    <row r="6" spans="1:50" x14ac:dyDescent="0.3">
      <c r="A6">
        <v>122611022019</v>
      </c>
      <c r="B6">
        <v>12345678</v>
      </c>
      <c r="D6" t="s">
        <v>237</v>
      </c>
      <c r="E6" t="s">
        <v>238</v>
      </c>
      <c r="F6">
        <v>0</v>
      </c>
      <c r="H6">
        <v>20</v>
      </c>
      <c r="I6">
        <v>22</v>
      </c>
      <c r="J6">
        <v>0</v>
      </c>
      <c r="K6">
        <v>15000</v>
      </c>
      <c r="L6" s="17">
        <v>43186</v>
      </c>
      <c r="M6" s="17"/>
      <c r="N6" s="17">
        <v>43370</v>
      </c>
      <c r="O6">
        <v>6</v>
      </c>
      <c r="P6" t="s">
        <v>181</v>
      </c>
      <c r="Q6">
        <v>2678</v>
      </c>
      <c r="R6">
        <v>1</v>
      </c>
      <c r="S6">
        <v>2</v>
      </c>
      <c r="T6">
        <v>15000</v>
      </c>
      <c r="U6">
        <v>12979</v>
      </c>
      <c r="V6" s="17">
        <v>43277</v>
      </c>
      <c r="W6" s="17">
        <v>43308</v>
      </c>
      <c r="X6" s="17">
        <v>43186</v>
      </c>
      <c r="Y6" s="17">
        <v>43186</v>
      </c>
      <c r="Z6" s="17">
        <v>43217</v>
      </c>
      <c r="AA6">
        <v>0</v>
      </c>
      <c r="AB6">
        <v>0</v>
      </c>
      <c r="AC6">
        <v>100</v>
      </c>
      <c r="AD6">
        <v>0</v>
      </c>
      <c r="AE6" s="17"/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17"/>
      <c r="AM6" t="s">
        <v>239</v>
      </c>
      <c r="AO6" s="19" t="s">
        <v>182</v>
      </c>
      <c r="AP6" t="str">
        <f>"'NBFC1',"&amp;IF(ISBLANK(A6),"null,","'"&amp;TRIM(A6)&amp;"',")&amp;IF(ISBLANK(B6),"null,","'"&amp;TRIM(B6)&amp;"',")&amp;IF(ISBLANK(C6),"null,","'"&amp;TRIM(C6)&amp;"',")&amp;IF(ISBLANK(D6),"null,","'"&amp;TRIM(D6)&amp;"',")&amp;IF(ISBLANK(E6),"null,","'"&amp;TRIM(E6)&amp;"',")&amp;IF(ISBLANK(F6),"'0',","'"&amp;TRIM(F6)&amp;"',")&amp;IF(ISBLANK(G6),"null,","'"&amp;TRIM(G6)&amp;"',")&amp;IF(ISBLANK(H6),"'0',","'"&amp;TRIM(H6)&amp;"',")&amp;IF(ISBLANK(I6),"'0',","'"&amp;TRIM(I6)&amp;"',")&amp;IF(ISBLANK(J6),"'0',","'"&amp;TRIM(J6)&amp;"',")&amp;IF(ISBLANK(K6),"'0',","'"&amp;TRIM(K6)&amp;"',")&amp;IF(ISBLANK(L6),"null,","'"&amp;TEXT(TRIM(L6),"yyyy-mm-dd")&amp;"',")&amp;IF(ISBLANK(M6),"null,","'"&amp;TEXT(TRIM(M6),"yyyy-mm-dd")&amp;"',")&amp;IF(ISBLANK(N6),"null,","'"&amp;TEXT(TRIM(N6),"yyyy-mm-dd")&amp;"',")&amp;IF(ISBLANK(O6),"null,","'"&amp;TRIM(O6)&amp;"',")&amp;IF(ISBLANK(P6),"null,","'"&amp;TRIM(P6)&amp;"',")&amp;IF(ISBLANK(Q6),"'0',","'"&amp;TRIM(Q6)&amp;"',")&amp;IF(ISBLANK(R6),"'0',","'"&amp;TRIM(R6)&amp;"',")&amp;IF(ISBLANK(S6),"'0',","'"&amp;TRIM(S6)&amp;"',")&amp;IF(ISBLANK(T6),"'0',","'"&amp;TRIM(T6)&amp;"',")&amp;IF(ISBLANK(U6),"'0',","'"&amp;TRIM(U6)&amp;"',")&amp;IF(ISBLANK(V6),"null,","'"&amp;TEXT(TRIM(V6),"yyyy-mm-dd")&amp;"',")&amp;IF(ISBLANK(W6),"null,","'"&amp;TEXT(TRIM(W6),"yyyy-mm-dd")&amp;"',")&amp;IF(ISBLANK(X6),"null,","'"&amp;TEXT(TRIM(X6),"yyyy-mm-dd")&amp;"',")&amp;IF(ISBLANK(Y6),"null,","'"&amp;TEXT(TRIM(Y6),"yyyy-mm-dd")&amp;"',")&amp;IF(ISBLANK(Z6),"null,","'"&amp;TEXT(TRIM(Z6),"yyyy-mm-dd")&amp;"',")&amp;IF(ISBLANK(AA6),"null,","'"&amp;TRIM(AA6)&amp;"',")&amp;IF(ISBLANK(AB6),"'0',","'"&amp;TRIM(AB6)&amp;"',")&amp;IF(ISBLANK(AC6),"'0',","'"&amp;TRIM(AC6)&amp;"',")&amp;IF(ISBLANK(AD6),"'0',","'"&amp;TRIM(AD6)&amp;"',")&amp;IF(ISBLANK(AE6),"null,","'"&amp;TEXT(TRIM(AE6),"yyyy-mm-dd")&amp;"',")&amp;IF(ISBLANK(AF6),"'0',","'"&amp;TRIM(AF6)&amp;"',")&amp;IF(ISBLANK(AG6),"'0',","'"&amp;TRIM(AG6)&amp;"',")&amp;IF(ISBLANK(AH6),"'0',","'"&amp;TRIM(AH6)&amp;"',")&amp;IF(ISBLANK(AI6),"'0',","'"&amp;TRIM(AI6)&amp;"',")&amp;IF(ISBLANK(AM6),"null,","'"&amp;TRIM(AM6)&amp;"',")&amp;IF(ISBLANK(AN6),"null,","'"&amp;TRIM(AN6)&amp;"',")&amp;"'0'"</f>
        <v>'NBFC1','122611022019','12345678',null,'HO','ELCFD','0',null,'20','22','0','15000','2018-03-27',null,'2018-09-27','6','MONTH','2678','1','2','15000','12979','2018-06-26','2018-07-27','2018-03-27','2018-03-27','2018-04-27','0','0','100','0',null,'0','0','0','0','admin',null,'0'</v>
      </c>
      <c r="AQ6" t="s">
        <v>179</v>
      </c>
      <c r="AR6" s="15" t="str">
        <f>CONCATENATE(AO6,AP6,AQ6)</f>
        <v>INSERT INTO `migrated_loan_accounts` (`tenant_code`,`account_id`,`customer_id`,`customer_id2`,`branch_code`,`product_code`,`operational_status`,`original_account_id`,`normal_interest_rate`, `penal_interest_rate`,`nominal_interest_rate`,`amount_magnitude`,`opened_on_date`,`closed_on_value_date`,`maturity_date`,`tenure_magnitude`,`tenure_unit`, `installment_amount_magnitude`,`booked_not_due_normal_interest_magnitude`,`booked_not_due_penal_interest_magnitude`, `total_disbursed_magnitude`,`balance_magnitude`,`last_booking_date`, `next_demand_schedule_date`, `first_disbursement_date`, `last_disbursement_date`, `first_repayment_date`, `demand_adjustment_magnitude`, `interest_adjustment_magnitude`,`security_deposit_magnitude`, `principal_write_off_magnitude`,`write_off_date`, `normal_interest_limit_magnitude`,`moratorium_period`, `booked_normal_interest_magnitude`,
`booked_penal_interest_magnitude`,`open_user_id`,`close_user_id`,`processed`) VALUES ('NBFC1','122611022019','12345678',null,'HO','ELCFD','0',null,'20','22','0','15000','2018-03-27',null,'2018-09-27','6','MONTH','2678','1','2','15000','12979','2018-06-26','2018-07-27','2018-03-27','2018-03-27','2018-04-27','0','0','100','0',null,'0','0','0','0','admin',null,'0');</v>
      </c>
    </row>
    <row r="7" spans="1:50" x14ac:dyDescent="0.3">
      <c r="A7">
        <v>122611022020</v>
      </c>
      <c r="B7">
        <v>12345678</v>
      </c>
      <c r="D7" t="s">
        <v>237</v>
      </c>
      <c r="E7" t="s">
        <v>238</v>
      </c>
      <c r="F7">
        <v>0</v>
      </c>
      <c r="H7">
        <v>20</v>
      </c>
      <c r="I7">
        <v>22</v>
      </c>
      <c r="J7">
        <v>0</v>
      </c>
      <c r="K7">
        <v>15000</v>
      </c>
      <c r="L7" s="17">
        <v>43278</v>
      </c>
      <c r="M7" s="17"/>
      <c r="N7" s="17">
        <v>43643</v>
      </c>
      <c r="O7">
        <v>12</v>
      </c>
      <c r="P7" t="s">
        <v>181</v>
      </c>
      <c r="Q7">
        <v>1390</v>
      </c>
      <c r="R7">
        <v>0</v>
      </c>
      <c r="S7">
        <v>0</v>
      </c>
      <c r="T7">
        <v>15000</v>
      </c>
      <c r="U7">
        <v>10327.25</v>
      </c>
      <c r="V7" s="17">
        <v>43399</v>
      </c>
      <c r="W7" s="17">
        <v>43431</v>
      </c>
      <c r="X7" s="17">
        <v>43278</v>
      </c>
      <c r="Y7" s="17">
        <v>43278</v>
      </c>
      <c r="Z7" s="17">
        <v>43308</v>
      </c>
      <c r="AA7">
        <v>0</v>
      </c>
      <c r="AB7">
        <v>0</v>
      </c>
      <c r="AC7">
        <v>100</v>
      </c>
      <c r="AD7">
        <v>0</v>
      </c>
      <c r="AE7" s="17"/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17"/>
      <c r="AM7" t="s">
        <v>239</v>
      </c>
      <c r="AO7" s="19" t="s">
        <v>182</v>
      </c>
      <c r="AP7" t="str">
        <f>"'NBFC1',"&amp;IF(ISBLANK(A7),"null,","'"&amp;TRIM(A7)&amp;"',")&amp;IF(ISBLANK(B7),"null,","'"&amp;TRIM(B7)&amp;"',")&amp;IF(ISBLANK(C7),"null,","'"&amp;TRIM(C7)&amp;"',")&amp;IF(ISBLANK(D7),"null,","'"&amp;TRIM(D7)&amp;"',")&amp;IF(ISBLANK(E7),"null,","'"&amp;TRIM(E7)&amp;"',")&amp;IF(ISBLANK(F7),"'0',","'"&amp;TRIM(F7)&amp;"',")&amp;IF(ISBLANK(G7),"null,","'"&amp;TRIM(G7)&amp;"',")&amp;IF(ISBLANK(H7),"'0',","'"&amp;TRIM(H7)&amp;"',")&amp;IF(ISBLANK(I7),"'0',","'"&amp;TRIM(I7)&amp;"',")&amp;IF(ISBLANK(J7),"'0',","'"&amp;TRIM(J7)&amp;"',")&amp;IF(ISBLANK(K7),"'0',","'"&amp;TRIM(K7)&amp;"',")&amp;IF(ISBLANK(L7),"null,","'"&amp;TEXT(TRIM(L7),"yyyy-mm-dd")&amp;"',")&amp;IF(ISBLANK(M7),"null,","'"&amp;TEXT(TRIM(M7),"yyyy-mm-dd")&amp;"',")&amp;IF(ISBLANK(N7),"null,","'"&amp;TEXT(TRIM(N7),"yyyy-mm-dd")&amp;"',")&amp;IF(ISBLANK(O7),"null,","'"&amp;TRIM(O7)&amp;"',")&amp;IF(ISBLANK(P7),"null,","'"&amp;TRIM(P7)&amp;"',")&amp;IF(ISBLANK(Q7),"'0',","'"&amp;TRIM(Q7)&amp;"',")&amp;IF(ISBLANK(R7),"'0',","'"&amp;TRIM(R7)&amp;"',")&amp;IF(ISBLANK(S7),"'0',","'"&amp;TRIM(S7)&amp;"',")&amp;IF(ISBLANK(T7),"'0',","'"&amp;TRIM(T7)&amp;"',")&amp;IF(ISBLANK(U7),"'0',","'"&amp;TRIM(U7)&amp;"',")&amp;IF(ISBLANK(V7),"null,","'"&amp;TEXT(TRIM(V7),"yyyy-mm-dd")&amp;"',")&amp;IF(ISBLANK(W7),"null,","'"&amp;TEXT(TRIM(W7),"yyyy-mm-dd")&amp;"',")&amp;IF(ISBLANK(X7),"null,","'"&amp;TEXT(TRIM(X7),"yyyy-mm-dd")&amp;"',")&amp;IF(ISBLANK(Y7),"null,","'"&amp;TEXT(TRIM(Y7),"yyyy-mm-dd")&amp;"',")&amp;IF(ISBLANK(Z7),"null,","'"&amp;TEXT(TRIM(Z7),"yyyy-mm-dd")&amp;"',")&amp;IF(ISBLANK(AA7),"null,","'"&amp;TRIM(AA7)&amp;"',")&amp;IF(ISBLANK(AB7),"'0',","'"&amp;TRIM(AB7)&amp;"',")&amp;IF(ISBLANK(AC7),"'0',","'"&amp;TRIM(AC7)&amp;"',")&amp;IF(ISBLANK(AD7),"'0',","'"&amp;TRIM(AD7)&amp;"',")&amp;IF(ISBLANK(AE7),"null,","'"&amp;TEXT(TRIM(AE7),"yyyy-mm-dd")&amp;"',")&amp;IF(ISBLANK(AF7),"'0',","'"&amp;TRIM(AF7)&amp;"',")&amp;IF(ISBLANK(AG7),"'0',","'"&amp;TRIM(AG7)&amp;"',")&amp;IF(ISBLANK(AH7),"'0',","'"&amp;TRIM(AH7)&amp;"',")&amp;IF(ISBLANK(AI7),"'0',","'"&amp;TRIM(AI7)&amp;"',")&amp;IF(ISBLANK(AM7),"null,","'"&amp;TRIM(AM7)&amp;"',")&amp;IF(ISBLANK(AN7),"null,","'"&amp;TRIM(AN7)&amp;"',")&amp;"'0'"</f>
        <v>'NBFC1','122611022020','12345678',null,'HO','ELCFD','0',null,'20','22','0','15000','2018-06-27',null,'2019-06-27','12','MONTH','1390','0','0','15000','10327.25','2018-10-26','2018-11-27','2018-06-27','2018-06-27','2018-07-27','0','0','100','0',null,'0','0','0','0','admin',null,'0'</v>
      </c>
      <c r="AQ7" t="s">
        <v>179</v>
      </c>
      <c r="AR7" s="15" t="str">
        <f>CONCATENATE(AO7,AP7,AQ7)</f>
        <v>INSERT INTO `migrated_loan_accounts` (`tenant_code`,`account_id`,`customer_id`,`customer_id2`,`branch_code`,`product_code`,`operational_status`,`original_account_id`,`normal_interest_rate`, `penal_interest_rate`,`nominal_interest_rate`,`amount_magnitude`,`opened_on_date`,`closed_on_value_date`,`maturity_date`,`tenure_magnitude`,`tenure_unit`, `installment_amount_magnitude`,`booked_not_due_normal_interest_magnitude`,`booked_not_due_penal_interest_magnitude`, `total_disbursed_magnitude`,`balance_magnitude`,`last_booking_date`, `next_demand_schedule_date`, `first_disbursement_date`, `last_disbursement_date`, `first_repayment_date`, `demand_adjustment_magnitude`, `interest_adjustment_magnitude`,`security_deposit_magnitude`, `principal_write_off_magnitude`,`write_off_date`, `normal_interest_limit_magnitude`,`moratorium_period`, `booked_normal_interest_magnitude`,
`booked_penal_interest_magnitude`,`open_user_id`,`close_user_id`,`processed`) VALUES ('NBFC1','122611022020','12345678',null,'HO','ELCFD','0',null,'20','22','0','15000','2018-06-27',null,'2019-06-27','12','MONTH','1390','0','0','15000','10327.25','2018-10-26','2018-11-27','2018-06-27','2018-06-27','2018-07-27','0','0','100','0',null,'0','0','0','0','admin',null,'0');</v>
      </c>
    </row>
    <row r="8" spans="1:50" x14ac:dyDescent="0.3">
      <c r="A8">
        <v>122611022021</v>
      </c>
      <c r="B8">
        <v>12345678</v>
      </c>
      <c r="D8" t="s">
        <v>237</v>
      </c>
      <c r="E8" t="s">
        <v>238</v>
      </c>
      <c r="F8">
        <v>0</v>
      </c>
      <c r="H8">
        <v>20</v>
      </c>
      <c r="I8">
        <v>22</v>
      </c>
      <c r="J8">
        <v>0</v>
      </c>
      <c r="K8">
        <v>15000</v>
      </c>
      <c r="L8" s="17">
        <v>43278</v>
      </c>
      <c r="M8" s="17"/>
      <c r="N8" s="17">
        <v>43643</v>
      </c>
      <c r="O8">
        <v>12</v>
      </c>
      <c r="P8" t="s">
        <v>181</v>
      </c>
      <c r="Q8">
        <v>1390</v>
      </c>
      <c r="R8">
        <v>0</v>
      </c>
      <c r="S8">
        <v>0</v>
      </c>
      <c r="T8">
        <v>15000</v>
      </c>
      <c r="U8">
        <v>10327.25</v>
      </c>
      <c r="V8" s="17">
        <v>43399</v>
      </c>
      <c r="W8" s="17">
        <v>43431</v>
      </c>
      <c r="X8" s="17">
        <v>43278</v>
      </c>
      <c r="Y8" s="17">
        <v>43278</v>
      </c>
      <c r="Z8" s="17">
        <v>43308</v>
      </c>
      <c r="AA8">
        <v>0</v>
      </c>
      <c r="AB8">
        <v>0</v>
      </c>
      <c r="AC8">
        <v>100</v>
      </c>
      <c r="AD8">
        <v>0</v>
      </c>
      <c r="AE8" s="17"/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17"/>
      <c r="AM8" t="s">
        <v>239</v>
      </c>
      <c r="AO8" s="19" t="s">
        <v>182</v>
      </c>
      <c r="AP8" t="str">
        <f>"'NBFC1',"&amp;IF(ISBLANK(A8),"null,","'"&amp;TRIM(A8)&amp;"',")&amp;IF(ISBLANK(B8),"null,","'"&amp;TRIM(B8)&amp;"',")&amp;IF(ISBLANK(C8),"null,","'"&amp;TRIM(C8)&amp;"',")&amp;IF(ISBLANK(D8),"null,","'"&amp;TRIM(D8)&amp;"',")&amp;IF(ISBLANK(E8),"null,","'"&amp;TRIM(E8)&amp;"',")&amp;IF(ISBLANK(F8),"'0',","'"&amp;TRIM(F8)&amp;"',")&amp;IF(ISBLANK(G8),"null,","'"&amp;TRIM(G8)&amp;"',")&amp;IF(ISBLANK(H8),"'0',","'"&amp;TRIM(H8)&amp;"',")&amp;IF(ISBLANK(I8),"'0',","'"&amp;TRIM(I8)&amp;"',")&amp;IF(ISBLANK(J8),"'0',","'"&amp;TRIM(J8)&amp;"',")&amp;IF(ISBLANK(K8),"'0',","'"&amp;TRIM(K8)&amp;"',")&amp;IF(ISBLANK(L8),"null,","'"&amp;TEXT(TRIM(L8),"yyyy-mm-dd")&amp;"',")&amp;IF(ISBLANK(M8),"null,","'"&amp;TEXT(TRIM(M8),"yyyy-mm-dd")&amp;"',")&amp;IF(ISBLANK(N8),"null,","'"&amp;TEXT(TRIM(N8),"yyyy-mm-dd")&amp;"',")&amp;IF(ISBLANK(O8),"null,","'"&amp;TRIM(O8)&amp;"',")&amp;IF(ISBLANK(P8),"null,","'"&amp;TRIM(P8)&amp;"',")&amp;IF(ISBLANK(Q8),"'0',","'"&amp;TRIM(Q8)&amp;"',")&amp;IF(ISBLANK(R8),"'0',","'"&amp;TRIM(R8)&amp;"',")&amp;IF(ISBLANK(S8),"'0',","'"&amp;TRIM(S8)&amp;"',")&amp;IF(ISBLANK(T8),"'0',","'"&amp;TRIM(T8)&amp;"',")&amp;IF(ISBLANK(U8),"'0',","'"&amp;TRIM(U8)&amp;"',")&amp;IF(ISBLANK(V8),"null,","'"&amp;TEXT(TRIM(V8),"yyyy-mm-dd")&amp;"',")&amp;IF(ISBLANK(W8),"null,","'"&amp;TEXT(TRIM(W8),"yyyy-mm-dd")&amp;"',")&amp;IF(ISBLANK(X8),"null,","'"&amp;TEXT(TRIM(X8),"yyyy-mm-dd")&amp;"',")&amp;IF(ISBLANK(Y8),"null,","'"&amp;TEXT(TRIM(Y8),"yyyy-mm-dd")&amp;"',")&amp;IF(ISBLANK(Z8),"null,","'"&amp;TEXT(TRIM(Z8),"yyyy-mm-dd")&amp;"',")&amp;IF(ISBLANK(AA8),"null,","'"&amp;TRIM(AA8)&amp;"',")&amp;IF(ISBLANK(AB8),"'0',","'"&amp;TRIM(AB8)&amp;"',")&amp;IF(ISBLANK(AC8),"'0',","'"&amp;TRIM(AC8)&amp;"',")&amp;IF(ISBLANK(AD8),"'0',","'"&amp;TRIM(AD8)&amp;"',")&amp;IF(ISBLANK(AE8),"null,","'"&amp;TEXT(TRIM(AE8),"yyyy-mm-dd")&amp;"',")&amp;IF(ISBLANK(AF8),"'0',","'"&amp;TRIM(AF8)&amp;"',")&amp;IF(ISBLANK(AG8),"'0',","'"&amp;TRIM(AG8)&amp;"',")&amp;IF(ISBLANK(AH8),"'0',","'"&amp;TRIM(AH8)&amp;"',")&amp;IF(ISBLANK(AI8),"'0',","'"&amp;TRIM(AI8)&amp;"',")&amp;IF(ISBLANK(AM8),"null,","'"&amp;TRIM(AM8)&amp;"',")&amp;IF(ISBLANK(AN8),"null,","'"&amp;TRIM(AN8)&amp;"',")&amp;"'0'"</f>
        <v>'NBFC1','122611022021','12345678',null,'HO','ELCFD','0',null,'20','22','0','15000','2018-06-27',null,'2019-06-27','12','MONTH','1390','0','0','15000','10327.25','2018-10-26','2018-11-27','2018-06-27','2018-06-27','2018-07-27','0','0','100','0',null,'0','0','0','0','admin',null,'0'</v>
      </c>
      <c r="AQ8" t="s">
        <v>179</v>
      </c>
      <c r="AR8" s="15" t="str">
        <f>CONCATENATE(AO8,AP8,AQ8)</f>
        <v>INSERT INTO `migrated_loan_accounts` (`tenant_code`,`account_id`,`customer_id`,`customer_id2`,`branch_code`,`product_code`,`operational_status`,`original_account_id`,`normal_interest_rate`, `penal_interest_rate`,`nominal_interest_rate`,`amount_magnitude`,`opened_on_date`,`closed_on_value_date`,`maturity_date`,`tenure_magnitude`,`tenure_unit`, `installment_amount_magnitude`,`booked_not_due_normal_interest_magnitude`,`booked_not_due_penal_interest_magnitude`, `total_disbursed_magnitude`,`balance_magnitude`,`last_booking_date`, `next_demand_schedule_date`, `first_disbursement_date`, `last_disbursement_date`, `first_repayment_date`, `demand_adjustment_magnitude`, `interest_adjustment_magnitude`,`security_deposit_magnitude`, `principal_write_off_magnitude`,`write_off_date`, `normal_interest_limit_magnitude`,`moratorium_period`, `booked_normal_interest_magnitude`,
`booked_penal_interest_magnitude`,`open_user_id`,`close_user_id`,`processed`) VALUES ('NBFC1','122611022021','12345678',null,'HO','ELCFD','0',null,'20','22','0','15000','2018-06-27',null,'2019-06-27','12','MONTH','1390','0','0','15000','10327.25','2018-10-26','2018-11-27','2018-06-27','2018-06-27','2018-07-27','0','0','100','0',null,'0','0','0','0','admin',null,'0');</v>
      </c>
    </row>
  </sheetData>
  <conditionalFormatting sqref="A5">
    <cfRule type="duplicateValues" dxfId="21" priority="7"/>
    <cfRule type="duplicateValues" dxfId="20" priority="8"/>
  </conditionalFormatting>
  <conditionalFormatting sqref="A6">
    <cfRule type="duplicateValues" dxfId="19" priority="5"/>
    <cfRule type="duplicateValues" dxfId="18" priority="6"/>
  </conditionalFormatting>
  <conditionalFormatting sqref="A7">
    <cfRule type="duplicateValues" dxfId="17" priority="3"/>
    <cfRule type="duplicateValues" dxfId="16" priority="4"/>
  </conditionalFormatting>
  <conditionalFormatting sqref="A8">
    <cfRule type="duplicateValues" dxfId="15" priority="1"/>
    <cfRule type="duplicateValues" dxfId="14" priority="2"/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zoomScaleNormal="100" workbookViewId="0">
      <selection activeCell="K5" sqref="K5"/>
    </sheetView>
  </sheetViews>
  <sheetFormatPr defaultRowHeight="14.4" x14ac:dyDescent="0.3"/>
  <cols>
    <col min="1" max="1" width="10.33203125" customWidth="1"/>
    <col min="2" max="2" width="12.109375" customWidth="1"/>
    <col min="3" max="3" width="12.6640625" customWidth="1"/>
    <col min="4" max="4" width="12.88671875" customWidth="1"/>
    <col min="5" max="5" width="13.44140625" customWidth="1"/>
    <col min="6" max="6" width="13.33203125" customWidth="1"/>
    <col min="7" max="7" width="11.6640625" customWidth="1"/>
    <col min="8" max="9" width="13.6640625" customWidth="1"/>
    <col min="10" max="12" width="8.5546875" customWidth="1"/>
    <col min="13" max="13" width="58.21875" customWidth="1"/>
    <col min="14" max="1025" width="8.5546875" customWidth="1"/>
  </cols>
  <sheetData>
    <row r="1" spans="1:13" s="4" customFormat="1" ht="28.8" x14ac:dyDescent="0.3">
      <c r="A1" s="6" t="s">
        <v>93</v>
      </c>
      <c r="B1" s="6" t="s">
        <v>94</v>
      </c>
      <c r="C1" s="6" t="s">
        <v>95</v>
      </c>
      <c r="D1" s="6" t="s">
        <v>96</v>
      </c>
      <c r="E1" s="6" t="s">
        <v>97</v>
      </c>
      <c r="F1" s="6" t="s">
        <v>98</v>
      </c>
      <c r="G1" s="6" t="s">
        <v>99</v>
      </c>
      <c r="H1" s="12" t="s">
        <v>178</v>
      </c>
      <c r="I1" s="12" t="s">
        <v>118</v>
      </c>
    </row>
    <row r="2" spans="1:13" ht="62.4" customHeight="1" x14ac:dyDescent="0.3">
      <c r="A2" s="3" t="s">
        <v>100</v>
      </c>
      <c r="B2" s="5" t="s">
        <v>157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11" t="s">
        <v>150</v>
      </c>
      <c r="I2" s="7" t="s">
        <v>131</v>
      </c>
    </row>
    <row r="3" spans="1:13" x14ac:dyDescent="0.3">
      <c r="A3" s="3" t="s">
        <v>22</v>
      </c>
      <c r="B3" s="3" t="s">
        <v>22</v>
      </c>
      <c r="C3" s="3" t="s">
        <v>22</v>
      </c>
      <c r="D3" s="3" t="s">
        <v>22</v>
      </c>
      <c r="E3" s="3" t="s">
        <v>22</v>
      </c>
      <c r="F3" s="3" t="s">
        <v>22</v>
      </c>
      <c r="G3" s="3" t="s">
        <v>22</v>
      </c>
      <c r="H3" s="11" t="s">
        <v>23</v>
      </c>
      <c r="I3" s="7" t="s">
        <v>23</v>
      </c>
    </row>
    <row r="4" spans="1:13" x14ac:dyDescent="0.3">
      <c r="A4" s="5" t="s">
        <v>24</v>
      </c>
      <c r="B4" s="5" t="s">
        <v>89</v>
      </c>
      <c r="C4" s="3" t="s">
        <v>88</v>
      </c>
      <c r="D4" s="5" t="s">
        <v>87</v>
      </c>
      <c r="E4" s="5" t="s">
        <v>87</v>
      </c>
      <c r="F4" s="5" t="s">
        <v>87</v>
      </c>
      <c r="G4" s="5" t="s">
        <v>87</v>
      </c>
      <c r="H4" s="9" t="s">
        <v>87</v>
      </c>
      <c r="I4" s="9" t="s">
        <v>87</v>
      </c>
    </row>
    <row r="5" spans="1:13" x14ac:dyDescent="0.3">
      <c r="A5">
        <v>122611022018</v>
      </c>
      <c r="B5">
        <f>COUNTIFS(A:A,A5,C:C,"&lt;="&amp;C5)</f>
        <v>1</v>
      </c>
      <c r="C5" s="16">
        <v>42797</v>
      </c>
      <c r="D5">
        <v>2710</v>
      </c>
      <c r="E5">
        <v>2000</v>
      </c>
      <c r="F5">
        <v>100</v>
      </c>
      <c r="G5">
        <v>100</v>
      </c>
      <c r="H5">
        <v>200</v>
      </c>
      <c r="I5">
        <v>15000</v>
      </c>
      <c r="J5" s="15" t="s">
        <v>180</v>
      </c>
      <c r="K5" s="15" t="str">
        <f>"'NBFC1',"&amp;IF(ISBLANK(A5),"null,","'"&amp;TRIM(A5)&amp;"',")&amp;IF(ISBLANK(B5),"null,","'"&amp;TRIM(B5)&amp;"',")&amp;IF(ISBLANK(C5),"null,","'"&amp;TEXT(C5,"yyyy-mm-dd")&amp;"',")&amp;IF(ISBLANK(D5),"'0',","'"&amp;TRIM(D5)&amp;"',")&amp;IF(ISBLANK(E5),"'0',","'"&amp;TRIM(E5)&amp;"',")&amp;IF(ISBLANK(F5),"'0',","'"&amp;TRIM(F5)&amp;"',")&amp;IF(ISBLANK(G5),"'0',","'"&amp;TRIM(G5)&amp;"',")&amp;IF(ISBLANK(H5),"'0',","'"&amp;TRIM(H5)&amp;"',")&amp;IF(ISBLANK(I5),"'0',","'"&amp;TRIM(I5)&amp;"',")&amp;"'0'"</f>
        <v>'NBFC1','122611022018','1','2017-03-03','2710','2000','100','100','200','15000','0'</v>
      </c>
      <c r="L5" s="15" t="s">
        <v>179</v>
      </c>
      <c r="M5" s="15" t="str">
        <f t="shared" ref="M5:M11" si="0">CONCATENATE(J5,K5,L5)</f>
        <v>INSERT INTO `migrated_demands` (`tenant_code`,`account_id`,`demand_num`,`demand_date`,`amount_magnitude`,`principal_magnitude`,`normal_interest_magnitude`, `penal_interest_magnitude`,`demand_due_magnitude`,`balance_magnitude`,`processed`) VALUES ('NBFC1','122611022018','1','2017-03-03','2710','2000','100','100','200','15000','0');</v>
      </c>
    </row>
    <row r="6" spans="1:13" x14ac:dyDescent="0.3">
      <c r="A6">
        <v>122611022020</v>
      </c>
      <c r="B6">
        <v>1</v>
      </c>
      <c r="C6" s="16">
        <v>43308</v>
      </c>
      <c r="D6">
        <v>1390</v>
      </c>
      <c r="E6">
        <v>1143.4000000000001</v>
      </c>
      <c r="F6">
        <v>246.6</v>
      </c>
      <c r="G6">
        <v>0</v>
      </c>
      <c r="H6">
        <v>0</v>
      </c>
      <c r="I6">
        <v>15000</v>
      </c>
      <c r="J6" s="15" t="s">
        <v>180</v>
      </c>
      <c r="K6" s="15" t="str">
        <f t="shared" ref="K6:K11" si="1">"'NBFC1',"&amp;IF(ISBLANK(A6),"null,","'"&amp;TRIM(A6)&amp;"',")&amp;IF(ISBLANK(B6),"null,","'"&amp;TRIM(B6)&amp;"',")&amp;IF(ISBLANK(C6),"null,","'"&amp;TEXT(C6,"yyyy-mm-dd")&amp;"',")&amp;IF(ISBLANK(D6),"'0',","'"&amp;TRIM(D6)&amp;"',")&amp;IF(ISBLANK(E6),"'0',","'"&amp;TRIM(E6)&amp;"',")&amp;IF(ISBLANK(F6),"'0',","'"&amp;TRIM(F6)&amp;"',")&amp;IF(ISBLANK(G6),"'0',","'"&amp;TRIM(G6)&amp;"',")&amp;IF(ISBLANK(H6),"'0',","'"&amp;TRIM(H6)&amp;"',")&amp;IF(ISBLANK(I6),"'0',","'"&amp;TRIM(I6)&amp;"',")&amp;"'0'"</f>
        <v>'NBFC1','122611022020','1','2018-07-27','1390','1143.4','246.6','0','0','15000','0'</v>
      </c>
      <c r="L6" s="15" t="s">
        <v>179</v>
      </c>
      <c r="M6" s="15" t="str">
        <f t="shared" si="0"/>
        <v>INSERT INTO `migrated_demands` (`tenant_code`,`account_id`,`demand_num`,`demand_date`,`amount_magnitude`,`principal_magnitude`,`normal_interest_magnitude`, `penal_interest_magnitude`,`demand_due_magnitude`,`balance_magnitude`,`processed`) VALUES ('NBFC1','122611022020','1','2018-07-27','1390','1143.4','246.6','0','0','15000','0');</v>
      </c>
    </row>
    <row r="7" spans="1:13" x14ac:dyDescent="0.3">
      <c r="A7">
        <v>122611022020</v>
      </c>
      <c r="B7">
        <v>2</v>
      </c>
      <c r="C7" s="16">
        <v>43339</v>
      </c>
      <c r="D7">
        <v>1390</v>
      </c>
      <c r="E7">
        <v>1154.71</v>
      </c>
      <c r="F7">
        <v>235.29</v>
      </c>
      <c r="G7">
        <v>0</v>
      </c>
      <c r="H7">
        <v>0</v>
      </c>
      <c r="I7">
        <v>13856.6</v>
      </c>
      <c r="J7" s="15" t="s">
        <v>180</v>
      </c>
      <c r="K7" s="15" t="str">
        <f t="shared" si="1"/>
        <v>'NBFC1','122611022020','2','2018-08-27','1390','1154.71','235.29','0','0','13856.6','0'</v>
      </c>
      <c r="L7" s="15" t="s">
        <v>179</v>
      </c>
      <c r="M7" s="15" t="str">
        <f t="shared" si="0"/>
        <v>INSERT INTO `migrated_demands` (`tenant_code`,`account_id`,`demand_num`,`demand_date`,`amount_magnitude`,`principal_magnitude`,`normal_interest_magnitude`, `penal_interest_magnitude`,`demand_due_magnitude`,`balance_magnitude`,`processed`) VALUES ('NBFC1','122611022020','2','2018-08-27','1390','1154.71','235.29','0','0','13856.6','0');</v>
      </c>
    </row>
    <row r="8" spans="1:13" x14ac:dyDescent="0.3">
      <c r="A8">
        <v>122611022020</v>
      </c>
      <c r="B8">
        <v>3</v>
      </c>
      <c r="C8" s="16">
        <v>43370</v>
      </c>
      <c r="D8">
        <v>1390</v>
      </c>
      <c r="E8">
        <v>1174.24</v>
      </c>
      <c r="F8">
        <v>215.76</v>
      </c>
      <c r="G8">
        <v>0</v>
      </c>
      <c r="H8">
        <v>0</v>
      </c>
      <c r="I8">
        <v>12701.89</v>
      </c>
      <c r="J8" s="15" t="s">
        <v>180</v>
      </c>
      <c r="K8" s="15" t="str">
        <f t="shared" si="1"/>
        <v>'NBFC1','122611022020','3','2018-09-27','1390','1174.24','215.76','0','0','12701.89','0'</v>
      </c>
      <c r="L8" s="15" t="s">
        <v>179</v>
      </c>
      <c r="M8" s="15" t="str">
        <f t="shared" si="0"/>
        <v>INSERT INTO `migrated_demands` (`tenant_code`,`account_id`,`demand_num`,`demand_date`,`amount_magnitude`,`principal_magnitude`,`normal_interest_magnitude`, `penal_interest_magnitude`,`demand_due_magnitude`,`balance_magnitude`,`processed`) VALUES ('NBFC1','122611022020','3','2018-09-27','1390','1174.24','215.76','0','0','12701.89','0');</v>
      </c>
    </row>
    <row r="9" spans="1:13" x14ac:dyDescent="0.3">
      <c r="A9">
        <v>122611022020</v>
      </c>
      <c r="B9">
        <v>4</v>
      </c>
      <c r="C9" s="16">
        <v>43400</v>
      </c>
      <c r="D9">
        <v>1390</v>
      </c>
      <c r="E9">
        <v>1200.4000000000001</v>
      </c>
      <c r="F9">
        <v>189.6</v>
      </c>
      <c r="G9">
        <v>0</v>
      </c>
      <c r="H9">
        <v>0</v>
      </c>
      <c r="I9">
        <v>11527.65</v>
      </c>
      <c r="J9" s="15" t="s">
        <v>180</v>
      </c>
      <c r="K9" s="15" t="str">
        <f t="shared" si="1"/>
        <v>'NBFC1','122611022020','4','2018-10-27','1390','1200.4','189.6','0','0','11527.65','0'</v>
      </c>
      <c r="L9" s="15" t="s">
        <v>179</v>
      </c>
      <c r="M9" s="15" t="str">
        <f t="shared" si="0"/>
        <v>INSERT INTO `migrated_demands` (`tenant_code`,`account_id`,`demand_num`,`demand_date`,`amount_magnitude`,`principal_magnitude`,`normal_interest_magnitude`, `penal_interest_magnitude`,`demand_due_magnitude`,`balance_magnitude`,`processed`) VALUES ('NBFC1','122611022020','4','2018-10-27','1390','1200.4','189.6','0','0','11527.65','0');</v>
      </c>
    </row>
    <row r="10" spans="1:13" x14ac:dyDescent="0.3">
      <c r="A10">
        <v>122611022021</v>
      </c>
      <c r="B10">
        <v>3</v>
      </c>
      <c r="C10" s="16">
        <v>43370</v>
      </c>
      <c r="D10">
        <v>1390</v>
      </c>
      <c r="E10">
        <v>1174.24</v>
      </c>
      <c r="F10">
        <v>215.76</v>
      </c>
      <c r="G10">
        <v>0</v>
      </c>
      <c r="H10">
        <v>190</v>
      </c>
      <c r="I10">
        <v>12701.89</v>
      </c>
      <c r="J10" s="15" t="s">
        <v>180</v>
      </c>
      <c r="K10" s="15" t="str">
        <f t="shared" si="1"/>
        <v>'NBFC1','122611022021','3','2018-09-27','1390','1174.24','215.76','0','190','12701.89','0'</v>
      </c>
      <c r="L10" s="15" t="s">
        <v>179</v>
      </c>
      <c r="M10" s="15" t="str">
        <f t="shared" si="0"/>
        <v>INSERT INTO `migrated_demands` (`tenant_code`,`account_id`,`demand_num`,`demand_date`,`amount_magnitude`,`principal_magnitude`,`normal_interest_magnitude`, `penal_interest_magnitude`,`demand_due_magnitude`,`balance_magnitude`,`processed`) VALUES ('NBFC1','122611022021','3','2018-09-27','1390','1174.24','215.76','0','190','12701.89','0');</v>
      </c>
    </row>
    <row r="11" spans="1:13" x14ac:dyDescent="0.3">
      <c r="A11">
        <v>122611022021</v>
      </c>
      <c r="B11">
        <v>4</v>
      </c>
      <c r="C11" s="16">
        <v>43400</v>
      </c>
      <c r="D11">
        <v>1390</v>
      </c>
      <c r="E11">
        <v>1200.4000000000001</v>
      </c>
      <c r="F11">
        <v>189.6</v>
      </c>
      <c r="G11">
        <v>0</v>
      </c>
      <c r="H11">
        <v>1390</v>
      </c>
      <c r="I11">
        <v>12701.89</v>
      </c>
      <c r="J11" s="15" t="s">
        <v>180</v>
      </c>
      <c r="K11" s="15" t="str">
        <f t="shared" si="1"/>
        <v>'NBFC1','122611022021','4','2018-10-27','1390','1200.4','189.6','0','1390','12701.89','0'</v>
      </c>
      <c r="L11" s="15" t="s">
        <v>179</v>
      </c>
      <c r="M11" s="15" t="str">
        <f t="shared" si="0"/>
        <v>INSERT INTO `migrated_demands` (`tenant_code`,`account_id`,`demand_num`,`demand_date`,`amount_magnitude`,`principal_magnitude`,`normal_interest_magnitude`, `penal_interest_magnitude`,`demand_due_magnitude`,`balance_magnitude`,`processed`) VALUES ('NBFC1','122611022021','4','2018-10-27','1390','1200.4','189.6','0','1390','12701.89','0');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"/>
  <sheetViews>
    <sheetView topLeftCell="E1" zoomScaleNormal="100" workbookViewId="0">
      <selection activeCell="T6" sqref="T6"/>
    </sheetView>
  </sheetViews>
  <sheetFormatPr defaultRowHeight="14.4" x14ac:dyDescent="0.3"/>
  <cols>
    <col min="1" max="1" width="11.33203125" customWidth="1"/>
    <col min="2" max="2" width="10.6640625" customWidth="1"/>
    <col min="3" max="4" width="25.44140625" customWidth="1"/>
    <col min="5" max="5" width="14.109375" customWidth="1"/>
    <col min="6" max="6" width="16.109375" customWidth="1"/>
    <col min="7" max="7" width="11.5546875" customWidth="1"/>
    <col min="8" max="11" width="10.77734375" customWidth="1"/>
    <col min="12" max="12" width="10.33203125" customWidth="1"/>
    <col min="13" max="13" width="9.6640625" customWidth="1"/>
    <col min="14" max="14" width="8.5546875" customWidth="1"/>
    <col min="15" max="15" width="14.109375" customWidth="1"/>
    <col min="16" max="16" width="16.109375" customWidth="1"/>
    <col min="17" max="17" width="11.21875" customWidth="1"/>
    <col min="18" max="18" width="13.21875" customWidth="1"/>
    <col min="19" max="1030" width="8.5546875" customWidth="1"/>
  </cols>
  <sheetData>
    <row r="1" spans="1:22" s="4" customFormat="1" ht="28.8" x14ac:dyDescent="0.3">
      <c r="A1" s="6" t="s">
        <v>93</v>
      </c>
      <c r="B1" s="6" t="s">
        <v>106</v>
      </c>
      <c r="C1" s="6" t="s">
        <v>107</v>
      </c>
      <c r="D1" s="6" t="s">
        <v>108</v>
      </c>
      <c r="E1" s="6" t="s">
        <v>109</v>
      </c>
      <c r="F1" s="6" t="s">
        <v>110</v>
      </c>
      <c r="G1" s="6" t="s">
        <v>170</v>
      </c>
      <c r="H1" s="6" t="s">
        <v>96</v>
      </c>
      <c r="I1" s="6" t="s">
        <v>251</v>
      </c>
      <c r="J1" s="6" t="s">
        <v>252</v>
      </c>
      <c r="K1" s="6" t="s">
        <v>253</v>
      </c>
      <c r="L1" s="6" t="s">
        <v>254</v>
      </c>
      <c r="M1" s="6" t="s">
        <v>111</v>
      </c>
      <c r="N1" s="12" t="s">
        <v>248</v>
      </c>
      <c r="O1" s="6" t="s">
        <v>137</v>
      </c>
      <c r="P1" s="6" t="s">
        <v>173</v>
      </c>
      <c r="Q1" s="6" t="s">
        <v>171</v>
      </c>
      <c r="R1" s="10" t="s">
        <v>144</v>
      </c>
    </row>
    <row r="2" spans="1:22" ht="69.599999999999994" customHeight="1" x14ac:dyDescent="0.3">
      <c r="A2" s="3" t="s">
        <v>100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116</v>
      </c>
      <c r="G2" s="11" t="s">
        <v>176</v>
      </c>
      <c r="H2" s="3" t="s">
        <v>117</v>
      </c>
      <c r="I2" s="7" t="s">
        <v>255</v>
      </c>
      <c r="J2" s="7" t="s">
        <v>256</v>
      </c>
      <c r="K2" s="7" t="s">
        <v>257</v>
      </c>
      <c r="L2" s="7" t="s">
        <v>258</v>
      </c>
      <c r="M2" s="3" t="s">
        <v>259</v>
      </c>
      <c r="N2" s="11" t="s">
        <v>249</v>
      </c>
      <c r="O2" s="7" t="s">
        <v>138</v>
      </c>
      <c r="P2" s="7" t="s">
        <v>174</v>
      </c>
      <c r="Q2" s="11" t="s">
        <v>175</v>
      </c>
      <c r="R2" s="11" t="s">
        <v>172</v>
      </c>
    </row>
    <row r="3" spans="1:22" x14ac:dyDescent="0.3">
      <c r="A3" s="3" t="s">
        <v>22</v>
      </c>
      <c r="B3" s="3" t="s">
        <v>22</v>
      </c>
      <c r="C3" s="3" t="s">
        <v>22</v>
      </c>
      <c r="D3" s="3" t="s">
        <v>22</v>
      </c>
      <c r="E3" s="3" t="s">
        <v>22</v>
      </c>
      <c r="F3" s="3" t="s">
        <v>22</v>
      </c>
      <c r="G3" s="11" t="s">
        <v>23</v>
      </c>
      <c r="H3" s="3" t="s">
        <v>22</v>
      </c>
      <c r="I3" s="8" t="s">
        <v>23</v>
      </c>
      <c r="J3" s="8" t="s">
        <v>23</v>
      </c>
      <c r="K3" s="8" t="s">
        <v>23</v>
      </c>
      <c r="L3" s="8" t="s">
        <v>23</v>
      </c>
      <c r="M3" s="8" t="s">
        <v>23</v>
      </c>
      <c r="N3" s="11" t="s">
        <v>23</v>
      </c>
      <c r="O3" s="7" t="s">
        <v>22</v>
      </c>
      <c r="P3" s="7" t="s">
        <v>22</v>
      </c>
      <c r="Q3" s="11" t="s">
        <v>23</v>
      </c>
      <c r="R3" s="11" t="s">
        <v>23</v>
      </c>
    </row>
    <row r="4" spans="1:22" ht="43.2" x14ac:dyDescent="0.3">
      <c r="A4" s="5" t="s">
        <v>24</v>
      </c>
      <c r="B4" s="5" t="s">
        <v>89</v>
      </c>
      <c r="C4" s="3" t="s">
        <v>88</v>
      </c>
      <c r="D4" s="5" t="s">
        <v>87</v>
      </c>
      <c r="E4" s="3" t="s">
        <v>88</v>
      </c>
      <c r="F4" s="5" t="s">
        <v>87</v>
      </c>
      <c r="G4" s="9" t="s">
        <v>133</v>
      </c>
      <c r="H4" s="5" t="s">
        <v>87</v>
      </c>
      <c r="I4" s="9" t="s">
        <v>87</v>
      </c>
      <c r="J4" s="9" t="s">
        <v>87</v>
      </c>
      <c r="K4" s="9" t="s">
        <v>87</v>
      </c>
      <c r="L4" s="5" t="s">
        <v>87</v>
      </c>
      <c r="M4" s="5" t="s">
        <v>87</v>
      </c>
      <c r="N4" s="9" t="s">
        <v>87</v>
      </c>
      <c r="O4" s="7" t="s">
        <v>88</v>
      </c>
      <c r="P4" s="9" t="s">
        <v>87</v>
      </c>
      <c r="Q4" s="9" t="s">
        <v>133</v>
      </c>
      <c r="R4" s="11" t="s">
        <v>146</v>
      </c>
    </row>
    <row r="5" spans="1:22" x14ac:dyDescent="0.3">
      <c r="A5">
        <v>122611022018</v>
      </c>
      <c r="B5">
        <v>1</v>
      </c>
      <c r="C5" s="20" t="s">
        <v>183</v>
      </c>
      <c r="D5" t="s">
        <v>184</v>
      </c>
      <c r="E5" s="21">
        <v>42959</v>
      </c>
      <c r="F5" t="s">
        <v>185</v>
      </c>
      <c r="G5" t="s">
        <v>186</v>
      </c>
      <c r="H5">
        <v>100</v>
      </c>
      <c r="I5">
        <v>18</v>
      </c>
      <c r="J5">
        <v>0</v>
      </c>
      <c r="K5">
        <v>0</v>
      </c>
      <c r="L5">
        <v>0</v>
      </c>
      <c r="M5">
        <v>118</v>
      </c>
      <c r="N5" s="22" t="s">
        <v>250</v>
      </c>
      <c r="O5" s="21">
        <v>43101</v>
      </c>
      <c r="P5" t="s">
        <v>187</v>
      </c>
      <c r="Q5" t="s">
        <v>188</v>
      </c>
      <c r="R5" s="20" t="s">
        <v>189</v>
      </c>
      <c r="S5" s="15" t="s">
        <v>262</v>
      </c>
      <c r="T5" s="15" t="str">
        <f>"'NBFC1',"&amp;IF(ISBLANK(A5),"null,","'"&amp;TRIM(A5)&amp;"',")&amp;IF(ISBLANK(B5),"null,","'"&amp;TRIM(B5)&amp;"',")&amp;IF(ISBLANK(C5),"null,","'"&amp;TRIM(C5)&amp;"',")&amp;IF(ISBLANK(D5),"null,","'"&amp;TRIM(D5)&amp;"',")&amp;IF(ISBLANK(E5),"null,","'"&amp;TEXT(TRIM(E5),"yyyy-mm-dd")&amp;"',")&amp;IF(ISBLANK(F5),"null,","'"&amp;TRIM(F5)&amp;"',")&amp;IF(ISBLANK(G5),"null,","'"&amp;TRIM(G5)&amp;"',")&amp;IF(ISBLANK(H5),"'0',","'"&amp;TRIM(H5)&amp;"',")&amp;IF(ISBLANK(I5),"'0',","'"&amp;TRIM(I5)&amp;"',")&amp;IF(ISBLANK(J5),"'0',","'"&amp;TRIM(J5)&amp;"',")&amp;IF(ISBLANK(K5),"'0',","'"&amp;TRIM(K5)&amp;"',")&amp;IF(ISBLANK(L5),"'0',","'"&amp;TRIM(L5)&amp;"',")&amp;IF(ISBLANK(M5),"'0',","'"&amp;TRIM(M5)&amp;"',")&amp;IF(ISBLANK(N5),"'0',","'"&amp;TRIM(N5)&amp;"',")&amp;IF(ISBLANK(O5),"null,","'"&amp;TEXT(TRIM(O5),"yyyy-mm-dd")&amp;"',")&amp;IF(ISBLANK(P5),"null,","'"&amp;TRIM(P5)&amp;"',")&amp;IF(ISBLANK(Q5),"null,","'"&amp;TRIM(Q5)&amp;"',")&amp;IF(ISBLANK(R5),"null,","'"&amp;TRIM(R5)&amp;"',")&amp;"'0'"</f>
        <v>'NBFC1','122611022018','1','Processing Fee','Fees','2017-08-12','C12345','U1','100','18','0','0','0','118','50','2018-01-01','C1345','U2','CASH','0'</v>
      </c>
      <c r="U5" s="15" t="s">
        <v>179</v>
      </c>
      <c r="V5" t="str">
        <f>CONCATENATE(S5,T5,U5)</f>
        <v>INSERT INTO `migrated_fees` (`tenant_code`,`account_id`,`fee_num`,`fee_category`,`fee_description`,`charged_value_date`,`charged_transaction_id`,`charge_user_id`,`amount_magnitude`,`tax1_magnitude`,`tax2_magnitude`,`tax3_magnitude`,`tax4_magnitude`,`gross_amount_magnitude`,`fee_due_magnitude`,`payment_value_date`,`payment_transaction_id`,`payment_user_id`,`instrument`,`processed`) VALUES ('NBFC1','122611022018','1','Processing Fee','Fees','2017-08-12','C12345','U1','100','18','0','0','0','118','50','2018-01-01','C1345','U2','CASH','0');</v>
      </c>
    </row>
    <row r="6" spans="1:22" x14ac:dyDescent="0.3">
      <c r="A6">
        <v>122611022021</v>
      </c>
      <c r="B6">
        <v>1</v>
      </c>
      <c r="C6" s="20" t="s">
        <v>183</v>
      </c>
      <c r="D6" t="s">
        <v>184</v>
      </c>
      <c r="E6" s="21">
        <v>43324</v>
      </c>
      <c r="F6" t="s">
        <v>260</v>
      </c>
      <c r="G6" t="s">
        <v>186</v>
      </c>
      <c r="H6">
        <v>100</v>
      </c>
      <c r="I6">
        <v>18</v>
      </c>
      <c r="J6">
        <v>0</v>
      </c>
      <c r="K6">
        <v>0</v>
      </c>
      <c r="L6">
        <v>0</v>
      </c>
      <c r="M6">
        <v>118</v>
      </c>
      <c r="N6" s="22" t="s">
        <v>250</v>
      </c>
      <c r="O6" s="21">
        <v>43101</v>
      </c>
      <c r="P6" t="s">
        <v>261</v>
      </c>
      <c r="Q6" t="s">
        <v>188</v>
      </c>
      <c r="R6" s="20" t="s">
        <v>189</v>
      </c>
      <c r="S6" s="15" t="s">
        <v>262</v>
      </c>
      <c r="T6" s="15" t="str">
        <f>"'NBFC1',"&amp;IF(ISBLANK(A6),"null,","'"&amp;TRIM(A6)&amp;"',")&amp;IF(ISBLANK(B6),"null,","'"&amp;TRIM(B6)&amp;"',")&amp;IF(ISBLANK(C6),"null,","'"&amp;TRIM(C6)&amp;"',")&amp;IF(ISBLANK(D6),"null,","'"&amp;TRIM(D6)&amp;"',")&amp;IF(ISBLANK(E6),"null,","'"&amp;TEXT(TRIM(E6),"yyyy-mm-dd")&amp;"',")&amp;IF(ISBLANK(F6),"null,","'"&amp;TRIM(F6)&amp;"',")&amp;IF(ISBLANK(G6),"null,","'"&amp;TRIM(G6)&amp;"',")&amp;IF(ISBLANK(H6),"'0',","'"&amp;TRIM(H6)&amp;"',")&amp;IF(ISBLANK(I6),"'0',","'"&amp;TRIM(I6)&amp;"',")&amp;IF(ISBLANK(J6),"'0',","'"&amp;TRIM(J6)&amp;"',")&amp;IF(ISBLANK(K6),"'0',","'"&amp;TRIM(K6)&amp;"',")&amp;IF(ISBLANK(L6),"'0',","'"&amp;TRIM(L6)&amp;"',")&amp;IF(ISBLANK(M6),"'0',","'"&amp;TRIM(M6)&amp;"',")&amp;IF(ISBLANK(N6),"'0',","'"&amp;TRIM(N6)&amp;"',")&amp;IF(ISBLANK(O6),"null,","'"&amp;TEXT(TRIM(O6),"yyyy-mm-dd")&amp;"',")&amp;IF(ISBLANK(P6),"null,","'"&amp;TRIM(P6)&amp;"',")&amp;IF(ISBLANK(Q6),"null,","'"&amp;TRIM(Q6)&amp;"',")&amp;IF(ISBLANK(R6),"null,","'"&amp;TRIM(R6)&amp;"',")&amp;"'0'"</f>
        <v>'NBFC1','122611022021','1','Processing Fee','Fees','2018-08-12','F112','U1','100','18','0','0','0','118','50','2018-01-01','F113','U2','CASH','0'</v>
      </c>
      <c r="U6" s="15" t="s">
        <v>179</v>
      </c>
      <c r="V6" t="str">
        <f>CONCATENATE(S6,T6,U6)</f>
        <v>INSERT INTO `migrated_fees` (`tenant_code`,`account_id`,`fee_num`,`fee_category`,`fee_description`,`charged_value_date`,`charged_transaction_id`,`charge_user_id`,`amount_magnitude`,`tax1_magnitude`,`tax2_magnitude`,`tax3_magnitude`,`tax4_magnitude`,`gross_amount_magnitude`,`fee_due_magnitude`,`payment_value_date`,`payment_transaction_id`,`payment_user_id`,`instrument`,`processed`) VALUES ('NBFC1','122611022021','1','Processing Fee','Fees','2018-08-12','F112','U1','100','18','0','0','0','118','50','2018-01-01','F113','U2','CASH','0');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"/>
  <sheetViews>
    <sheetView workbookViewId="0">
      <selection activeCell="L5" sqref="L5"/>
    </sheetView>
  </sheetViews>
  <sheetFormatPr defaultRowHeight="14.4" x14ac:dyDescent="0.3"/>
  <cols>
    <col min="1" max="1" width="11.33203125" customWidth="1"/>
    <col min="2" max="2" width="13" customWidth="1"/>
    <col min="3" max="3" width="25.44140625" customWidth="1"/>
    <col min="4" max="4" width="17.44140625" customWidth="1"/>
    <col min="5" max="5" width="16.109375" customWidth="1"/>
    <col min="6" max="6" width="10.88671875" customWidth="1"/>
    <col min="7" max="7" width="16.88671875" customWidth="1"/>
    <col min="8" max="8" width="13.109375" customWidth="1"/>
    <col min="9" max="9" width="16.21875" customWidth="1"/>
    <col min="11" max="11" width="8.88671875" customWidth="1"/>
  </cols>
  <sheetData>
    <row r="1" spans="1:14" ht="28.8" x14ac:dyDescent="0.3">
      <c r="A1" s="6" t="s">
        <v>93</v>
      </c>
      <c r="B1" s="6" t="s">
        <v>152</v>
      </c>
      <c r="C1" s="6" t="s">
        <v>122</v>
      </c>
      <c r="D1" s="6" t="s">
        <v>123</v>
      </c>
      <c r="E1" s="6" t="s">
        <v>124</v>
      </c>
      <c r="F1" s="6" t="s">
        <v>96</v>
      </c>
      <c r="G1" s="6" t="s">
        <v>142</v>
      </c>
      <c r="H1" s="6" t="s">
        <v>118</v>
      </c>
      <c r="I1" s="10" t="s">
        <v>144</v>
      </c>
      <c r="J1" s="10" t="s">
        <v>148</v>
      </c>
    </row>
    <row r="2" spans="1:14" ht="43.2" x14ac:dyDescent="0.3">
      <c r="A2" s="7" t="s">
        <v>100</v>
      </c>
      <c r="B2" s="7" t="s">
        <v>153</v>
      </c>
      <c r="C2" s="7" t="s">
        <v>141</v>
      </c>
      <c r="D2" s="7" t="s">
        <v>127</v>
      </c>
      <c r="E2" s="7" t="s">
        <v>124</v>
      </c>
      <c r="F2" s="7" t="s">
        <v>96</v>
      </c>
      <c r="G2" s="7" t="s">
        <v>143</v>
      </c>
      <c r="H2" s="7" t="s">
        <v>131</v>
      </c>
      <c r="I2" s="11" t="s">
        <v>147</v>
      </c>
      <c r="J2" s="11" t="s">
        <v>149</v>
      </c>
    </row>
    <row r="3" spans="1:14" x14ac:dyDescent="0.3">
      <c r="A3" s="7" t="s">
        <v>22</v>
      </c>
      <c r="B3" s="7" t="s">
        <v>22</v>
      </c>
      <c r="C3" s="7" t="s">
        <v>23</v>
      </c>
      <c r="D3" s="7" t="s">
        <v>22</v>
      </c>
      <c r="E3" s="7" t="s">
        <v>23</v>
      </c>
      <c r="F3" s="7" t="s">
        <v>22</v>
      </c>
      <c r="G3" s="7" t="s">
        <v>23</v>
      </c>
      <c r="H3" s="7" t="s">
        <v>23</v>
      </c>
      <c r="I3" s="11" t="s">
        <v>23</v>
      </c>
      <c r="J3" s="11" t="s">
        <v>23</v>
      </c>
    </row>
    <row r="4" spans="1:14" ht="43.2" x14ac:dyDescent="0.3">
      <c r="A4" s="9" t="s">
        <v>24</v>
      </c>
      <c r="B4" s="9" t="s">
        <v>89</v>
      </c>
      <c r="C4" s="9" t="s">
        <v>87</v>
      </c>
      <c r="D4" s="7" t="s">
        <v>88</v>
      </c>
      <c r="E4" s="9" t="s">
        <v>133</v>
      </c>
      <c r="F4" s="9" t="s">
        <v>87</v>
      </c>
      <c r="G4" s="9" t="s">
        <v>87</v>
      </c>
      <c r="H4" s="9" t="s">
        <v>87</v>
      </c>
      <c r="I4" s="11" t="s">
        <v>146</v>
      </c>
      <c r="J4" s="9" t="s">
        <v>133</v>
      </c>
    </row>
    <row r="5" spans="1:14" x14ac:dyDescent="0.3">
      <c r="A5">
        <v>122611022018</v>
      </c>
      <c r="B5">
        <v>1</v>
      </c>
      <c r="C5" t="s">
        <v>190</v>
      </c>
      <c r="D5" s="17">
        <v>43186</v>
      </c>
      <c r="E5" t="s">
        <v>191</v>
      </c>
      <c r="F5">
        <v>15000</v>
      </c>
      <c r="G5">
        <v>14000</v>
      </c>
      <c r="H5">
        <v>15000</v>
      </c>
      <c r="I5" s="20"/>
      <c r="J5" t="s">
        <v>241</v>
      </c>
      <c r="K5" s="15" t="s">
        <v>242</v>
      </c>
      <c r="L5" t="str">
        <f>"'NBFC1',"&amp;IF(ISBLANK(A5),"null,","'"&amp;TRIM(A5)&amp;"',")&amp;IF(ISBLANK(B5),"null,","'"&amp;TRIM(B5)&amp;"',")&amp;IF(ISBLANK(C5),"null,","'"&amp;TEXT(C5,"yyyy-mm-dd")&amp;"',")&amp;IF(ISBLANK(D5),"null,","'"&amp;TEXT(TRIM(D5),"yyyy-mm-dd")&amp;"',")&amp;IF(ISBLANK(E5),"null,","'"&amp;TRIM(E5)&amp;"',")&amp;IF(ISBLANK(F5),"'0',","'"&amp;TRIM(F5)&amp;"',")&amp;IF(ISBLANK(G5),"'0',","'"&amp;TRIM(G5)&amp;"',")&amp;IF(ISBLANK(H5),"'0',","'"&amp;TRIM(H5)&amp;"',")&amp;IF(ISBLANK(I5),"'CASH',","'"&amp;TRIM(I5)&amp;"',")&amp;IF(ISBLANK(J5),"null,","'"&amp;TRIM(J5)&amp;"',")&amp;"'0'"</f>
        <v>'NBFC1','122611022018','1','disbursement','2018-03-27','T1','15000','14000','15000','CASH','ro1','0'</v>
      </c>
      <c r="M5" t="s">
        <v>179</v>
      </c>
      <c r="N5" t="str">
        <f>CONCATENATE(K5,L5,M5)</f>
        <v>INSERT INTO `migrated_disbursements` (`tenant_code`,`account_id`,`disbursement_num`,`description`,`disbursement_date`,`transaction_id`, `amount_magnitude`,`net_disbursement_magnitude`,`balance_magnitude`,`instrument`,`user_id`,`processed`) VALUES ('NBFC1','122611022018','1','disbursement','2018-03-27','T1','15000','14000','15000','CASH','ro1','0');</v>
      </c>
    </row>
  </sheetData>
  <conditionalFormatting sqref="A5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"/>
  <sheetViews>
    <sheetView topLeftCell="M1" workbookViewId="0">
      <selection activeCell="O10" sqref="O10"/>
    </sheetView>
  </sheetViews>
  <sheetFormatPr defaultRowHeight="14.4" x14ac:dyDescent="0.3"/>
  <cols>
    <col min="1" max="1" width="11.33203125" customWidth="1"/>
    <col min="2" max="2" width="13" customWidth="1"/>
    <col min="3" max="3" width="16.109375" customWidth="1"/>
    <col min="4" max="4" width="21.88671875" customWidth="1"/>
    <col min="5" max="5" width="25.44140625" customWidth="1"/>
    <col min="6" max="6" width="17.44140625" customWidth="1"/>
    <col min="7" max="7" width="10.88671875" customWidth="1"/>
    <col min="8" max="8" width="16.88671875" customWidth="1"/>
    <col min="9" max="9" width="18.6640625" customWidth="1"/>
    <col min="10" max="10" width="19.33203125" customWidth="1"/>
    <col min="11" max="11" width="13.109375" customWidth="1"/>
    <col min="12" max="12" width="16.21875" customWidth="1"/>
    <col min="13" max="13" width="12.33203125" customWidth="1"/>
  </cols>
  <sheetData>
    <row r="1" spans="1:17" ht="28.8" x14ac:dyDescent="0.3">
      <c r="A1" s="6" t="s">
        <v>93</v>
      </c>
      <c r="B1" s="6" t="s">
        <v>154</v>
      </c>
      <c r="C1" s="6" t="s">
        <v>124</v>
      </c>
      <c r="D1" s="6" t="s">
        <v>140</v>
      </c>
      <c r="E1" s="6" t="s">
        <v>122</v>
      </c>
      <c r="F1" s="6" t="s">
        <v>123</v>
      </c>
      <c r="G1" s="6" t="s">
        <v>96</v>
      </c>
      <c r="H1" s="6" t="s">
        <v>97</v>
      </c>
      <c r="I1" s="6" t="s">
        <v>98</v>
      </c>
      <c r="J1" s="6" t="s">
        <v>99</v>
      </c>
      <c r="K1" s="6" t="s">
        <v>118</v>
      </c>
      <c r="L1" s="10" t="s">
        <v>144</v>
      </c>
      <c r="M1" s="10" t="s">
        <v>148</v>
      </c>
    </row>
    <row r="2" spans="1:17" ht="57.6" x14ac:dyDescent="0.3">
      <c r="A2" s="7" t="s">
        <v>100</v>
      </c>
      <c r="B2" s="7" t="s">
        <v>155</v>
      </c>
      <c r="C2" s="7" t="s">
        <v>124</v>
      </c>
      <c r="D2" s="7" t="s">
        <v>156</v>
      </c>
      <c r="E2" s="7" t="s">
        <v>126</v>
      </c>
      <c r="F2" s="7" t="s">
        <v>127</v>
      </c>
      <c r="G2" s="7" t="s">
        <v>96</v>
      </c>
      <c r="H2" s="7" t="s">
        <v>128</v>
      </c>
      <c r="I2" s="7" t="s">
        <v>129</v>
      </c>
      <c r="J2" s="7" t="s">
        <v>130</v>
      </c>
      <c r="K2" s="7" t="s">
        <v>131</v>
      </c>
      <c r="L2" s="11" t="s">
        <v>145</v>
      </c>
      <c r="M2" s="11" t="s">
        <v>149</v>
      </c>
    </row>
    <row r="3" spans="1:17" x14ac:dyDescent="0.3">
      <c r="A3" s="7" t="s">
        <v>22</v>
      </c>
      <c r="B3" s="7" t="s">
        <v>22</v>
      </c>
      <c r="C3" s="7" t="s">
        <v>23</v>
      </c>
      <c r="D3" s="7" t="s">
        <v>22</v>
      </c>
      <c r="E3" s="7" t="s">
        <v>23</v>
      </c>
      <c r="F3" s="7" t="s">
        <v>22</v>
      </c>
      <c r="G3" s="7" t="s">
        <v>22</v>
      </c>
      <c r="H3" s="7" t="s">
        <v>23</v>
      </c>
      <c r="I3" s="7" t="s">
        <v>23</v>
      </c>
      <c r="J3" s="7" t="s">
        <v>23</v>
      </c>
      <c r="K3" s="7" t="s">
        <v>23</v>
      </c>
      <c r="L3" s="11" t="s">
        <v>23</v>
      </c>
      <c r="M3" s="11" t="s">
        <v>23</v>
      </c>
    </row>
    <row r="4" spans="1:17" ht="43.2" x14ac:dyDescent="0.3">
      <c r="A4" s="9" t="s">
        <v>24</v>
      </c>
      <c r="B4" s="9" t="s">
        <v>89</v>
      </c>
      <c r="C4" s="9" t="s">
        <v>133</v>
      </c>
      <c r="D4" s="9" t="s">
        <v>24</v>
      </c>
      <c r="E4" s="9" t="s">
        <v>87</v>
      </c>
      <c r="F4" s="7" t="s">
        <v>88</v>
      </c>
      <c r="G4" s="9" t="s">
        <v>87</v>
      </c>
      <c r="H4" s="9" t="s">
        <v>87</v>
      </c>
      <c r="I4" s="9" t="s">
        <v>87</v>
      </c>
      <c r="J4" s="9" t="s">
        <v>87</v>
      </c>
      <c r="K4" s="9" t="s">
        <v>87</v>
      </c>
      <c r="L4" s="11" t="s">
        <v>146</v>
      </c>
      <c r="M4" s="9" t="s">
        <v>133</v>
      </c>
    </row>
    <row r="5" spans="1:17" x14ac:dyDescent="0.3">
      <c r="A5">
        <v>122611022018</v>
      </c>
      <c r="B5">
        <v>1</v>
      </c>
      <c r="C5" t="s">
        <v>243</v>
      </c>
      <c r="D5" t="s">
        <v>244</v>
      </c>
      <c r="E5" t="s">
        <v>245</v>
      </c>
      <c r="F5" s="17">
        <v>43217</v>
      </c>
      <c r="G5">
        <v>2678</v>
      </c>
      <c r="H5">
        <v>2000</v>
      </c>
      <c r="I5">
        <v>678</v>
      </c>
      <c r="J5">
        <v>0</v>
      </c>
      <c r="K5">
        <v>13000</v>
      </c>
      <c r="L5" s="20" t="s">
        <v>189</v>
      </c>
      <c r="M5" t="s">
        <v>192</v>
      </c>
      <c r="N5" s="15" t="s">
        <v>246</v>
      </c>
      <c r="O5" t="str">
        <f>"'NBFC1',"&amp;IF(ISBLANK(A5),"null,","'"&amp;TRIM(A5)&amp;"',")&amp;IF(ISBLANK(B5),"null,","'"&amp;TRIM(B5)&amp;"',")&amp;IF(ISBLANK(C5),"null,","'"&amp;TRIM(C5)&amp;"',")&amp;IF(ISBLANK(D5),"null,","'"&amp;TRIM(D5)&amp;"',")&amp;IF(ISBLANK(E5),"null,","'"&amp;TRIM(E5)&amp;"',")&amp;IF(ISBLANK(F5),"null,","'"&amp;TEXT(F5,"yyyy-mm-dd")&amp;"',")&amp;IF(ISBLANK(G5),"'0',","'"&amp;TRIM(G5)&amp;"',")&amp;IF(ISBLANK(H5),"'0',","'"&amp;TRIM(H5)&amp;"',")&amp;IF(ISBLANK(I5),"'0',","'"&amp;TRIM(I5)&amp;"',")&amp;IF(ISBLANK(J5),"'0',","'"&amp;TRIM(J5)&amp;"',")&amp;IF(ISBLANK(K5),"'0',","'"&amp;TRIM(K5)&amp;"',")&amp;IF(ISBLANK(L5),"CASH,","'"&amp;TRIM(L5)&amp;"',")&amp;IF(ISBLANK(M5),"null,","'"&amp;TRIM(M5)&amp;"',")&amp;"'0'"</f>
        <v>'NBFC1','122611022018','1','T3','ScheduledRepayment','Repayment','2018-04-27','2678','2000','678','0','13000','CASH','u5','0'</v>
      </c>
      <c r="P5" s="15" t="s">
        <v>179</v>
      </c>
      <c r="Q5" t="str">
        <f>CONCATENATE(N5,O5,P5)</f>
        <v>INSERT INTO `migrated_repayments` (`tenant_code`,`account_id`,`repayment_num`,`transaction_id`,`repayment_type`,`description`,`repayment_date`, `amount_magnitude`,`principal_magnitude`,`normal_interest_magnitude`,`penal_interest_magnitude`,`balance_magnitude`,`instrument`,`user_id`,`processed`) VALUES ('NBFC1','122611022018','1','T3','ScheduledRepayment','Repayment','2018-04-27','2678','2000','678','0','13000','CASH','u5','0');</v>
      </c>
    </row>
    <row r="6" spans="1:17" x14ac:dyDescent="0.3">
      <c r="A6">
        <v>122611022020</v>
      </c>
      <c r="B6">
        <v>1</v>
      </c>
      <c r="D6" t="s">
        <v>244</v>
      </c>
      <c r="E6" t="s">
        <v>245</v>
      </c>
      <c r="F6" s="17">
        <v>43308</v>
      </c>
      <c r="G6">
        <v>1395</v>
      </c>
      <c r="H6">
        <v>1143.4000000000001</v>
      </c>
      <c r="I6">
        <v>246.6</v>
      </c>
      <c r="J6">
        <v>0</v>
      </c>
      <c r="K6">
        <v>13856.6</v>
      </c>
      <c r="L6" s="20" t="s">
        <v>189</v>
      </c>
      <c r="M6" t="s">
        <v>192</v>
      </c>
      <c r="N6" s="15" t="s">
        <v>246</v>
      </c>
      <c r="O6" t="str">
        <f>"'NBFC1',"&amp;IF(ISBLANK(A6),"null,","'"&amp;TRIM(A6)&amp;"',")&amp;IF(ISBLANK(B6),"null,","'"&amp;TRIM(B6)&amp;"',")&amp;IF(ISBLANK(C6),"null,","'"&amp;TRIM(C6)&amp;"',")&amp;IF(ISBLANK(D6),"null,","'"&amp;TRIM(D6)&amp;"',")&amp;IF(ISBLANK(E6),"null,","'"&amp;TRIM(E6)&amp;"',")&amp;IF(ISBLANK(F6),"null,","'"&amp;TEXT(F6,"yyyy-mm-dd")&amp;"',")&amp;IF(ISBLANK(G6),"'0',","'"&amp;TRIM(G6)&amp;"',")&amp;IF(ISBLANK(H6),"'0',","'"&amp;TRIM(H6)&amp;"',")&amp;IF(ISBLANK(I6),"'0',","'"&amp;TRIM(I6)&amp;"',")&amp;IF(ISBLANK(J6),"'0',","'"&amp;TRIM(J6)&amp;"',")&amp;IF(ISBLANK(K6),"'0',","'"&amp;TRIM(K6)&amp;"',")&amp;IF(ISBLANK(L6),"CASH,","'"&amp;TRIM(L6)&amp;"',")&amp;IF(ISBLANK(M6),"null,","'"&amp;TRIM(M6)&amp;"',")&amp;"'0'"</f>
        <v>'NBFC1','122611022020','1',null,'ScheduledRepayment','Repayment','2018-07-27','1395','1143.4','246.6','0','13856.6','CASH','u5','0'</v>
      </c>
      <c r="P6" s="15" t="s">
        <v>179</v>
      </c>
      <c r="Q6" t="str">
        <f>CONCATENATE(N6,O6,P6)</f>
        <v>INSERT INTO `migrated_repayments` (`tenant_code`,`account_id`,`repayment_num`,`transaction_id`,`repayment_type`,`description`,`repayment_date`, `amount_magnitude`,`principal_magnitude`,`normal_interest_magnitude`,`penal_interest_magnitude`,`balance_magnitude`,`instrument`,`user_id`,`processed`) VALUES ('NBFC1','122611022020','1',null,'ScheduledRepayment','Repayment','2018-07-27','1395','1143.4','246.6','0','13856.6','CASH','u5','0');</v>
      </c>
    </row>
    <row r="7" spans="1:17" x14ac:dyDescent="0.3">
      <c r="A7">
        <v>122611022020</v>
      </c>
      <c r="B7">
        <v>2</v>
      </c>
      <c r="D7" t="s">
        <v>244</v>
      </c>
      <c r="E7" t="s">
        <v>245</v>
      </c>
      <c r="F7" s="17">
        <v>43339</v>
      </c>
      <c r="G7">
        <v>1390</v>
      </c>
      <c r="H7">
        <v>1154.71</v>
      </c>
      <c r="I7">
        <v>235.29</v>
      </c>
      <c r="J7">
        <v>0</v>
      </c>
      <c r="K7">
        <v>12701.89</v>
      </c>
      <c r="L7" s="20" t="s">
        <v>189</v>
      </c>
      <c r="M7" t="s">
        <v>192</v>
      </c>
      <c r="N7" s="15" t="s">
        <v>246</v>
      </c>
      <c r="O7" t="str">
        <f>"'NBFC1',"&amp;IF(ISBLANK(A7),"null,","'"&amp;TRIM(A7)&amp;"',")&amp;IF(ISBLANK(B7),"null,","'"&amp;TRIM(B7)&amp;"',")&amp;IF(ISBLANK(C7),"null,","'"&amp;TRIM(C7)&amp;"',")&amp;IF(ISBLANK(D7),"null,","'"&amp;TRIM(D7)&amp;"',")&amp;IF(ISBLANK(E7),"null,","'"&amp;TRIM(E7)&amp;"',")&amp;IF(ISBLANK(F7),"null,","'"&amp;TEXT(F7,"yyyy-mm-dd")&amp;"',")&amp;IF(ISBLANK(G7),"'0',","'"&amp;TRIM(G7)&amp;"',")&amp;IF(ISBLANK(H7),"'0',","'"&amp;TRIM(H7)&amp;"',")&amp;IF(ISBLANK(I7),"'0',","'"&amp;TRIM(I7)&amp;"',")&amp;IF(ISBLANK(J7),"'0',","'"&amp;TRIM(J7)&amp;"',")&amp;IF(ISBLANK(K7),"'0',","'"&amp;TRIM(K7)&amp;"',")&amp;IF(ISBLANK(L7),"CASH,","'"&amp;TRIM(L7)&amp;"',")&amp;IF(ISBLANK(M7),"null,","'"&amp;TRIM(M7)&amp;"',")&amp;"'0'"</f>
        <v>'NBFC1','122611022020','2',null,'ScheduledRepayment','Repayment','2018-08-27','1390','1154.71','235.29','0','12701.89','CASH','u5','0'</v>
      </c>
      <c r="P7" s="15" t="s">
        <v>179</v>
      </c>
      <c r="Q7" t="str">
        <f>CONCATENATE(N7,O7,P7)</f>
        <v>INSERT INTO `migrated_repayments` (`tenant_code`,`account_id`,`repayment_num`,`transaction_id`,`repayment_type`,`description`,`repayment_date`, `amount_magnitude`,`principal_magnitude`,`normal_interest_magnitude`,`penal_interest_magnitude`,`balance_magnitude`,`instrument`,`user_id`,`processed`) VALUES ('NBFC1','122611022020','2',null,'ScheduledRepayment','Repayment','2018-08-27','1390','1154.71','235.29','0','12701.89','CASH','u5','0');</v>
      </c>
    </row>
    <row r="8" spans="1:17" x14ac:dyDescent="0.3">
      <c r="A8">
        <v>122611022020</v>
      </c>
      <c r="B8">
        <v>3</v>
      </c>
      <c r="D8" t="s">
        <v>244</v>
      </c>
      <c r="E8" t="s">
        <v>245</v>
      </c>
      <c r="F8" s="17">
        <v>43370</v>
      </c>
      <c r="G8">
        <v>1390</v>
      </c>
      <c r="H8">
        <v>1174.24</v>
      </c>
      <c r="I8">
        <v>215.76</v>
      </c>
      <c r="J8">
        <v>0</v>
      </c>
      <c r="K8">
        <v>11527.65</v>
      </c>
      <c r="L8" s="20" t="s">
        <v>189</v>
      </c>
      <c r="M8" t="s">
        <v>192</v>
      </c>
      <c r="N8" s="15" t="s">
        <v>246</v>
      </c>
      <c r="O8" t="str">
        <f>"'NBFC1',"&amp;IF(ISBLANK(A8),"null,","'"&amp;TRIM(A8)&amp;"',")&amp;IF(ISBLANK(B8),"null,","'"&amp;TRIM(B8)&amp;"',")&amp;IF(ISBLANK(C8),"null,","'"&amp;TRIM(C8)&amp;"',")&amp;IF(ISBLANK(D8),"null,","'"&amp;TRIM(D8)&amp;"',")&amp;IF(ISBLANK(E8),"null,","'"&amp;TRIM(E8)&amp;"',")&amp;IF(ISBLANK(F8),"null,","'"&amp;TEXT(F8,"yyyy-mm-dd")&amp;"',")&amp;IF(ISBLANK(G8),"'0',","'"&amp;TRIM(G8)&amp;"',")&amp;IF(ISBLANK(H8),"'0',","'"&amp;TRIM(H8)&amp;"',")&amp;IF(ISBLANK(I8),"'0',","'"&amp;TRIM(I8)&amp;"',")&amp;IF(ISBLANK(J8),"'0',","'"&amp;TRIM(J8)&amp;"',")&amp;IF(ISBLANK(K8),"'0',","'"&amp;TRIM(K8)&amp;"',")&amp;IF(ISBLANK(L8),"CASH,","'"&amp;TRIM(L8)&amp;"',")&amp;IF(ISBLANK(M8),"null,","'"&amp;TRIM(M8)&amp;"',")&amp;"'0'"</f>
        <v>'NBFC1','122611022020','3',null,'ScheduledRepayment','Repayment','2018-09-27','1390','1174.24','215.76','0','11527.65','CASH','u5','0'</v>
      </c>
      <c r="P8" s="15" t="s">
        <v>179</v>
      </c>
      <c r="Q8" t="str">
        <f>CONCATENATE(N8,O8,P8)</f>
        <v>INSERT INTO `migrated_repayments` (`tenant_code`,`account_id`,`repayment_num`,`transaction_id`,`repayment_type`,`description`,`repayment_date`, `amount_magnitude`,`principal_magnitude`,`normal_interest_magnitude`,`penal_interest_magnitude`,`balance_magnitude`,`instrument`,`user_id`,`processed`) VALUES ('NBFC1','122611022020','3',null,'ScheduledRepayment','Repayment','2018-09-27','1390','1174.24','215.76','0','11527.65','CASH','u5','0');</v>
      </c>
    </row>
    <row r="9" spans="1:17" x14ac:dyDescent="0.3">
      <c r="A9">
        <v>122611022020</v>
      </c>
      <c r="B9">
        <v>4</v>
      </c>
      <c r="D9" t="s">
        <v>244</v>
      </c>
      <c r="E9" t="s">
        <v>245</v>
      </c>
      <c r="F9" s="17">
        <v>43400</v>
      </c>
      <c r="G9">
        <v>1390</v>
      </c>
      <c r="H9">
        <v>1200.4000000000001</v>
      </c>
      <c r="I9">
        <v>189.6</v>
      </c>
      <c r="J9">
        <v>0</v>
      </c>
      <c r="K9">
        <v>10327.25</v>
      </c>
      <c r="L9" s="20" t="s">
        <v>189</v>
      </c>
      <c r="M9" t="s">
        <v>192</v>
      </c>
      <c r="N9" s="15" t="s">
        <v>246</v>
      </c>
      <c r="O9" t="str">
        <f>"'NBFC1',"&amp;IF(ISBLANK(A9),"null,","'"&amp;TRIM(A9)&amp;"',")&amp;IF(ISBLANK(B9),"null,","'"&amp;TRIM(B9)&amp;"',")&amp;IF(ISBLANK(C9),"null,","'"&amp;TRIM(C9)&amp;"',")&amp;IF(ISBLANK(D9),"null,","'"&amp;TRIM(D9)&amp;"',")&amp;IF(ISBLANK(E9),"null,","'"&amp;TRIM(E9)&amp;"',")&amp;IF(ISBLANK(F9),"null,","'"&amp;TEXT(F9,"yyyy-mm-dd")&amp;"',")&amp;IF(ISBLANK(G9),"'0',","'"&amp;TRIM(G9)&amp;"',")&amp;IF(ISBLANK(H9),"'0',","'"&amp;TRIM(H9)&amp;"',")&amp;IF(ISBLANK(I9),"'0',","'"&amp;TRIM(I9)&amp;"',")&amp;IF(ISBLANK(J9),"'0',","'"&amp;TRIM(J9)&amp;"',")&amp;IF(ISBLANK(K9),"'0',","'"&amp;TRIM(K9)&amp;"',")&amp;IF(ISBLANK(L9),"CASH,","'"&amp;TRIM(L9)&amp;"',")&amp;IF(ISBLANK(M9),"null,","'"&amp;TRIM(M9)&amp;"',")&amp;"'0'"</f>
        <v>'NBFC1','122611022020','4',null,'ScheduledRepayment','Repayment','2018-10-27','1390','1200.4','189.6','0','10327.25','CASH','u5','0'</v>
      </c>
      <c r="P9" s="15" t="s">
        <v>179</v>
      </c>
      <c r="Q9" t="str">
        <f>CONCATENATE(N9,O9,P9)</f>
        <v>INSERT INTO `migrated_repayments` (`tenant_code`,`account_id`,`repayment_num`,`transaction_id`,`repayment_type`,`description`,`repayment_date`, `amount_magnitude`,`principal_magnitude`,`normal_interest_magnitude`,`penal_interest_magnitude`,`balance_magnitude`,`instrument`,`user_id`,`processed`) VALUES ('NBFC1','122611022020','4',null,'ScheduledRepayment','Repayment','2018-10-27','1390','1200.4','189.6','0','10327.25','CASH','u5','0');</v>
      </c>
    </row>
  </sheetData>
  <conditionalFormatting sqref="A5">
    <cfRule type="duplicateValues" dxfId="11" priority="9"/>
    <cfRule type="duplicateValues" dxfId="10" priority="10"/>
  </conditionalFormatting>
  <conditionalFormatting sqref="A6">
    <cfRule type="duplicateValues" dxfId="9" priority="7"/>
    <cfRule type="duplicateValues" dxfId="8" priority="8"/>
  </conditionalFormatting>
  <conditionalFormatting sqref="A7">
    <cfRule type="duplicateValues" dxfId="7" priority="5"/>
    <cfRule type="duplicateValues" dxfId="6" priority="6"/>
  </conditionalFormatting>
  <conditionalFormatting sqref="A8">
    <cfRule type="duplicateValues" dxfId="5" priority="3"/>
    <cfRule type="duplicateValues" dxfId="4" priority="4"/>
  </conditionalFormatting>
  <conditionalFormatting sqref="A9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zoomScaleNormal="100" workbookViewId="0">
      <selection activeCell="J5" sqref="J5"/>
    </sheetView>
  </sheetViews>
  <sheetFormatPr defaultRowHeight="14.4" x14ac:dyDescent="0.3"/>
  <cols>
    <col min="1" max="1" width="14.44140625" customWidth="1"/>
    <col min="2" max="2" width="12.6640625" customWidth="1"/>
    <col min="3" max="5" width="13.44140625" customWidth="1"/>
    <col min="6" max="6" width="10.33203125" customWidth="1"/>
    <col min="7" max="7" width="12.109375" customWidth="1"/>
    <col min="8" max="8" width="10.5546875" customWidth="1"/>
    <col min="9" max="1029" width="8.5546875" customWidth="1"/>
  </cols>
  <sheetData>
    <row r="1" spans="1:12" s="4" customFormat="1" ht="28.8" x14ac:dyDescent="0.3">
      <c r="A1" s="6" t="s">
        <v>93</v>
      </c>
      <c r="B1" s="6" t="s">
        <v>119</v>
      </c>
      <c r="C1" s="6" t="s">
        <v>227</v>
      </c>
      <c r="D1" s="6" t="s">
        <v>228</v>
      </c>
      <c r="E1" s="6" t="s">
        <v>226</v>
      </c>
      <c r="F1" s="6" t="s">
        <v>37</v>
      </c>
      <c r="G1" s="6" t="s">
        <v>231</v>
      </c>
      <c r="H1" s="24" t="s">
        <v>118</v>
      </c>
    </row>
    <row r="2" spans="1:12" ht="62.4" customHeight="1" x14ac:dyDescent="0.3">
      <c r="A2" s="3" t="s">
        <v>100</v>
      </c>
      <c r="B2" s="3" t="s">
        <v>121</v>
      </c>
      <c r="C2" s="7" t="s">
        <v>225</v>
      </c>
      <c r="D2" s="7" t="s">
        <v>229</v>
      </c>
      <c r="E2" s="7" t="s">
        <v>230</v>
      </c>
      <c r="F2" s="7" t="s">
        <v>236</v>
      </c>
      <c r="G2" s="3" t="s">
        <v>234</v>
      </c>
      <c r="H2" s="7" t="s">
        <v>120</v>
      </c>
    </row>
    <row r="3" spans="1:12" x14ac:dyDescent="0.3">
      <c r="A3" s="3" t="s">
        <v>22</v>
      </c>
      <c r="B3" s="3" t="s">
        <v>22</v>
      </c>
      <c r="C3" s="7" t="s">
        <v>22</v>
      </c>
      <c r="D3" s="7" t="s">
        <v>233</v>
      </c>
      <c r="E3" s="7" t="s">
        <v>233</v>
      </c>
      <c r="F3" s="7" t="s">
        <v>224</v>
      </c>
      <c r="G3" s="3" t="s">
        <v>232</v>
      </c>
      <c r="H3" s="7" t="s">
        <v>22</v>
      </c>
    </row>
    <row r="4" spans="1:12" x14ac:dyDescent="0.3">
      <c r="A4" s="5" t="s">
        <v>24</v>
      </c>
      <c r="B4" s="3" t="s">
        <v>88</v>
      </c>
      <c r="C4" s="9"/>
      <c r="D4" s="9"/>
      <c r="E4" s="9"/>
      <c r="F4" s="9"/>
      <c r="G4" s="5"/>
      <c r="H4" s="9" t="s">
        <v>87</v>
      </c>
    </row>
    <row r="5" spans="1:12" x14ac:dyDescent="0.3">
      <c r="A5">
        <v>122611022018</v>
      </c>
      <c r="B5" s="25">
        <v>43102</v>
      </c>
      <c r="C5">
        <v>1022</v>
      </c>
      <c r="F5">
        <f>VLOOKUP(A5,Loan!$A$5:$AN$198,20,FALSE)</f>
        <v>15000</v>
      </c>
      <c r="G5">
        <f>SUMIFS(C:C,A:A,A2,B:B,"&lt;="&amp;B2)</f>
        <v>0</v>
      </c>
      <c r="H5">
        <f>F5-G5</f>
        <v>15000</v>
      </c>
      <c r="I5" s="15" t="s">
        <v>235</v>
      </c>
      <c r="J5" t="str">
        <f>"'NBFC1',"&amp;IF(ISBLANK(A5),"null,","'"&amp;TRIM(A5)&amp;"',")&amp;IF(ISBLANK(B5),"null,","'"&amp;TEXT(TRIM(B5),"yyyy-mm-dd")&amp;"',")&amp;IF(ISBLANK(H5),"'0',","'"&amp;TRIM(H5)&amp;"',")&amp;"'0'"</f>
        <v>'NBFC1','122611022018','2018-01-02','15000','0'</v>
      </c>
      <c r="K5" t="s">
        <v>179</v>
      </c>
      <c r="L5" t="str">
        <f>CONCATENATE(I5,J5,K5)</f>
        <v>INSERT INTO `migrated_schedule_balances` (`tenant_code`,`account_id`,`demand_date`,`balance_magnitude`,`processed`) VALUES ('NBFC1','122611022018','2018-01-02','15000','0');</v>
      </c>
    </row>
  </sheetData>
  <conditionalFormatting sqref="A5">
    <cfRule type="duplicateValues" dxfId="1" priority="1"/>
    <cfRule type="duplicateValues" dxfId="0" priority="2"/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zoomScaleNormal="100" workbookViewId="0">
      <selection activeCell="A23" sqref="A23"/>
    </sheetView>
  </sheetViews>
  <sheetFormatPr defaultRowHeight="14.4" x14ac:dyDescent="0.3"/>
  <cols>
    <col min="1" max="1" width="32.5546875" customWidth="1"/>
    <col min="2" max="2" width="18.6640625" customWidth="1"/>
    <col min="3" max="3" width="27.88671875" customWidth="1"/>
    <col min="4" max="1025" width="8.5546875" customWidth="1"/>
  </cols>
  <sheetData>
    <row r="1" spans="1:3" x14ac:dyDescent="0.3">
      <c r="A1" s="1" t="s">
        <v>134</v>
      </c>
      <c r="B1" s="1" t="s">
        <v>7</v>
      </c>
      <c r="C1" s="1" t="s">
        <v>118</v>
      </c>
    </row>
    <row r="2" spans="1:3" ht="127.95" customHeight="1" x14ac:dyDescent="0.3">
      <c r="A2" s="3" t="s">
        <v>135</v>
      </c>
      <c r="B2" s="3"/>
      <c r="C2" s="3"/>
    </row>
    <row r="3" spans="1:3" x14ac:dyDescent="0.3">
      <c r="A3" s="3" t="s">
        <v>22</v>
      </c>
      <c r="B3" s="3" t="s">
        <v>22</v>
      </c>
      <c r="C3" s="3" t="s">
        <v>22</v>
      </c>
    </row>
    <row r="4" spans="1:3" x14ac:dyDescent="0.3">
      <c r="A4" s="5" t="s">
        <v>136</v>
      </c>
      <c r="B4" s="5" t="s">
        <v>85</v>
      </c>
      <c r="C4" s="5" t="s">
        <v>87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"/>
  <sheetViews>
    <sheetView workbookViewId="0">
      <selection activeCell="F4" sqref="F4"/>
    </sheetView>
  </sheetViews>
  <sheetFormatPr defaultRowHeight="14.4" x14ac:dyDescent="0.3"/>
  <cols>
    <col min="1" max="1" width="12" customWidth="1"/>
    <col min="2" max="2" width="12.77734375" customWidth="1"/>
    <col min="3" max="3" width="12.109375" customWidth="1"/>
    <col min="4" max="4" width="12.6640625" customWidth="1"/>
    <col min="5" max="5" width="12.5546875" customWidth="1"/>
    <col min="6" max="6" width="12.88671875" customWidth="1"/>
    <col min="7" max="7" width="12.109375" customWidth="1"/>
    <col min="8" max="8" width="13" customWidth="1"/>
    <col min="9" max="9" width="15.21875" customWidth="1"/>
    <col min="12" max="12" width="10.88671875" customWidth="1"/>
    <col min="15" max="15" width="13.21875" customWidth="1"/>
  </cols>
  <sheetData>
    <row r="1" spans="1:15" s="15" customFormat="1" ht="28.8" x14ac:dyDescent="0.3">
      <c r="A1" s="12" t="s">
        <v>93</v>
      </c>
      <c r="B1" s="12" t="s">
        <v>263</v>
      </c>
      <c r="C1" s="12" t="s">
        <v>264</v>
      </c>
      <c r="D1" s="12" t="s">
        <v>265</v>
      </c>
      <c r="E1" s="12" t="s">
        <v>266</v>
      </c>
      <c r="F1" s="12" t="s">
        <v>267</v>
      </c>
      <c r="G1" s="12" t="s">
        <v>268</v>
      </c>
      <c r="H1" s="12" t="s">
        <v>269</v>
      </c>
      <c r="I1" s="37" t="s">
        <v>271</v>
      </c>
      <c r="J1" s="37" t="s">
        <v>323</v>
      </c>
      <c r="K1" s="37" t="s">
        <v>324</v>
      </c>
      <c r="L1" s="37" t="s">
        <v>325</v>
      </c>
      <c r="M1" s="37" t="s">
        <v>272</v>
      </c>
      <c r="N1" s="37" t="s">
        <v>273</v>
      </c>
      <c r="O1" s="38" t="s">
        <v>270</v>
      </c>
    </row>
    <row r="2" spans="1:15" s="15" customFormat="1" ht="72" x14ac:dyDescent="0.3">
      <c r="A2" s="7" t="s">
        <v>100</v>
      </c>
      <c r="B2" s="39" t="s">
        <v>318</v>
      </c>
      <c r="C2" s="36" t="s">
        <v>319</v>
      </c>
      <c r="D2" s="32" t="s">
        <v>320</v>
      </c>
      <c r="E2" s="32" t="s">
        <v>321</v>
      </c>
      <c r="F2" s="32" t="s">
        <v>322</v>
      </c>
      <c r="G2" s="32" t="s">
        <v>298</v>
      </c>
      <c r="H2" s="32" t="s">
        <v>299</v>
      </c>
      <c r="I2" s="40" t="s">
        <v>326</v>
      </c>
      <c r="J2" s="35" t="s">
        <v>327</v>
      </c>
      <c r="K2" s="35" t="s">
        <v>328</v>
      </c>
      <c r="L2" s="34" t="s">
        <v>329</v>
      </c>
      <c r="M2" s="34" t="s">
        <v>331</v>
      </c>
      <c r="N2" s="34" t="s">
        <v>332</v>
      </c>
      <c r="O2" s="34" t="s">
        <v>330</v>
      </c>
    </row>
    <row r="3" spans="1:15" x14ac:dyDescent="0.3">
      <c r="A3" s="26" t="s">
        <v>22</v>
      </c>
      <c r="B3" s="26" t="s">
        <v>22</v>
      </c>
      <c r="C3" s="26" t="s">
        <v>22</v>
      </c>
      <c r="D3" s="26" t="s">
        <v>22</v>
      </c>
      <c r="E3" s="26" t="s">
        <v>22</v>
      </c>
      <c r="F3" s="26" t="s">
        <v>22</v>
      </c>
      <c r="G3" s="26" t="s">
        <v>22</v>
      </c>
      <c r="H3" s="27" t="s">
        <v>23</v>
      </c>
      <c r="I3" s="46" t="s">
        <v>333</v>
      </c>
      <c r="J3" s="46"/>
      <c r="K3" s="46"/>
      <c r="L3" s="46"/>
      <c r="M3" s="46"/>
      <c r="N3" s="46"/>
      <c r="O3" s="46"/>
    </row>
    <row r="4" spans="1:15" s="4" customFormat="1" ht="75.599999999999994" customHeight="1" x14ac:dyDescent="0.3">
      <c r="A4" s="7" t="s">
        <v>24</v>
      </c>
      <c r="B4" s="36" t="s">
        <v>89</v>
      </c>
      <c r="C4" s="7" t="s">
        <v>206</v>
      </c>
      <c r="D4" s="7" t="s">
        <v>206</v>
      </c>
      <c r="E4" s="7" t="s">
        <v>206</v>
      </c>
      <c r="F4" s="7" t="s">
        <v>206</v>
      </c>
      <c r="G4" s="7" t="s">
        <v>206</v>
      </c>
      <c r="H4" s="7" t="s">
        <v>206</v>
      </c>
      <c r="I4" s="40" t="s">
        <v>274</v>
      </c>
      <c r="J4" s="35" t="s">
        <v>88</v>
      </c>
      <c r="K4" s="35" t="s">
        <v>87</v>
      </c>
      <c r="L4" s="35" t="s">
        <v>88</v>
      </c>
      <c r="M4" s="35" t="s">
        <v>88</v>
      </c>
      <c r="N4" s="35" t="s">
        <v>88</v>
      </c>
      <c r="O4" s="35" t="s">
        <v>27</v>
      </c>
    </row>
  </sheetData>
  <mergeCells count="1">
    <mergeCell ref="I3:O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4"/>
  <sheetViews>
    <sheetView topLeftCell="H1" workbookViewId="0">
      <selection activeCell="R4" sqref="R4"/>
    </sheetView>
  </sheetViews>
  <sheetFormatPr defaultRowHeight="14.4" x14ac:dyDescent="0.3"/>
  <cols>
    <col min="1" max="1" width="12.6640625" customWidth="1"/>
    <col min="2" max="3" width="12.44140625" customWidth="1"/>
    <col min="4" max="4" width="12.6640625" customWidth="1"/>
    <col min="5" max="5" width="13.77734375" customWidth="1"/>
    <col min="6" max="6" width="16" customWidth="1"/>
    <col min="7" max="7" width="13.88671875" customWidth="1"/>
    <col min="8" max="8" width="16.77734375" customWidth="1"/>
    <col min="9" max="9" width="12.21875" customWidth="1"/>
    <col min="10" max="10" width="12.109375" customWidth="1"/>
    <col min="11" max="11" width="12.77734375" customWidth="1"/>
    <col min="13" max="13" width="12.44140625" customWidth="1"/>
    <col min="14" max="14" width="14.21875" customWidth="1"/>
    <col min="17" max="17" width="12.109375" customWidth="1"/>
    <col min="18" max="18" width="14.77734375" customWidth="1"/>
    <col min="19" max="19" width="11.44140625" customWidth="1"/>
    <col min="20" max="21" width="12.44140625" customWidth="1"/>
    <col min="22" max="22" width="11.5546875" customWidth="1"/>
    <col min="23" max="23" width="12.109375" customWidth="1"/>
  </cols>
  <sheetData>
    <row r="1" spans="1:23" ht="43.2" x14ac:dyDescent="0.3">
      <c r="A1" s="28" t="s">
        <v>275</v>
      </c>
      <c r="B1" s="28" t="s">
        <v>311</v>
      </c>
      <c r="C1" s="28" t="s">
        <v>313</v>
      </c>
      <c r="D1" s="28" t="s">
        <v>290</v>
      </c>
      <c r="E1" s="28" t="s">
        <v>278</v>
      </c>
      <c r="F1" s="28" t="s">
        <v>277</v>
      </c>
      <c r="G1" s="28" t="s">
        <v>276</v>
      </c>
      <c r="H1" s="28" t="s">
        <v>279</v>
      </c>
      <c r="I1" s="28" t="s">
        <v>268</v>
      </c>
      <c r="J1" s="28" t="s">
        <v>269</v>
      </c>
      <c r="K1" s="28" t="s">
        <v>280</v>
      </c>
      <c r="L1" s="28" t="s">
        <v>289</v>
      </c>
      <c r="M1" s="28" t="s">
        <v>281</v>
      </c>
      <c r="N1" s="29" t="s">
        <v>282</v>
      </c>
      <c r="O1" s="30" t="s">
        <v>283</v>
      </c>
      <c r="P1" s="28" t="s">
        <v>284</v>
      </c>
      <c r="Q1" s="28" t="s">
        <v>291</v>
      </c>
      <c r="R1" s="31" t="s">
        <v>285</v>
      </c>
      <c r="S1" s="31" t="s">
        <v>42</v>
      </c>
      <c r="T1" s="31" t="s">
        <v>286</v>
      </c>
      <c r="U1" s="31" t="s">
        <v>287</v>
      </c>
      <c r="V1" s="31" t="s">
        <v>20</v>
      </c>
      <c r="W1" s="31" t="s">
        <v>288</v>
      </c>
    </row>
    <row r="2" spans="1:23" ht="72" x14ac:dyDescent="0.3">
      <c r="A2" s="7" t="s">
        <v>100</v>
      </c>
      <c r="B2" s="32" t="s">
        <v>312</v>
      </c>
      <c r="C2" s="32" t="s">
        <v>314</v>
      </c>
      <c r="D2" s="7" t="s">
        <v>293</v>
      </c>
      <c r="E2" s="13" t="s">
        <v>294</v>
      </c>
      <c r="F2" s="32" t="s">
        <v>295</v>
      </c>
      <c r="G2" s="32" t="s">
        <v>292</v>
      </c>
      <c r="H2" s="32" t="s">
        <v>296</v>
      </c>
      <c r="I2" s="32" t="s">
        <v>298</v>
      </c>
      <c r="J2" s="32" t="s">
        <v>299</v>
      </c>
      <c r="K2" s="32" t="s">
        <v>300</v>
      </c>
      <c r="L2" s="32" t="s">
        <v>305</v>
      </c>
      <c r="M2" s="32" t="s">
        <v>301</v>
      </c>
      <c r="N2" s="32" t="s">
        <v>302</v>
      </c>
      <c r="O2" s="32" t="s">
        <v>303</v>
      </c>
      <c r="P2" s="32" t="s">
        <v>304</v>
      </c>
      <c r="Q2" s="32" t="s">
        <v>306</v>
      </c>
      <c r="R2" s="32" t="s">
        <v>307</v>
      </c>
      <c r="S2" s="32" t="s">
        <v>308</v>
      </c>
      <c r="T2" s="32" t="s">
        <v>309</v>
      </c>
      <c r="U2" s="32" t="s">
        <v>310</v>
      </c>
      <c r="V2" s="27" t="s">
        <v>317</v>
      </c>
      <c r="W2" s="27" t="s">
        <v>9</v>
      </c>
    </row>
    <row r="3" spans="1:23" ht="28.8" x14ac:dyDescent="0.3">
      <c r="A3" s="7" t="s">
        <v>22</v>
      </c>
      <c r="B3" s="27" t="s">
        <v>22</v>
      </c>
      <c r="C3" s="27" t="s">
        <v>22</v>
      </c>
      <c r="D3" s="7" t="s">
        <v>22</v>
      </c>
      <c r="E3" s="7" t="s">
        <v>22</v>
      </c>
      <c r="F3" s="7" t="s">
        <v>22</v>
      </c>
      <c r="G3" s="7" t="s">
        <v>22</v>
      </c>
      <c r="H3" s="11" t="s">
        <v>22</v>
      </c>
      <c r="I3" s="11" t="s">
        <v>22</v>
      </c>
      <c r="J3" s="11" t="s">
        <v>23</v>
      </c>
      <c r="K3" s="11" t="s">
        <v>22</v>
      </c>
      <c r="L3" s="11" t="s">
        <v>22</v>
      </c>
      <c r="M3" s="11" t="s">
        <v>22</v>
      </c>
      <c r="N3" s="11" t="s">
        <v>23</v>
      </c>
      <c r="O3" s="11" t="s">
        <v>23</v>
      </c>
      <c r="P3" s="11" t="s">
        <v>23</v>
      </c>
      <c r="Q3" s="11" t="s">
        <v>23</v>
      </c>
      <c r="R3" s="11" t="s">
        <v>23</v>
      </c>
      <c r="S3" s="11" t="s">
        <v>23</v>
      </c>
      <c r="T3" s="11" t="s">
        <v>23</v>
      </c>
      <c r="U3" s="11" t="s">
        <v>23</v>
      </c>
      <c r="V3" s="11" t="s">
        <v>23</v>
      </c>
      <c r="W3" s="11" t="s">
        <v>23</v>
      </c>
    </row>
    <row r="4" spans="1:23" ht="129.6" customHeight="1" x14ac:dyDescent="0.3">
      <c r="A4" s="9" t="s">
        <v>24</v>
      </c>
      <c r="B4" s="9" t="s">
        <v>206</v>
      </c>
      <c r="C4" s="9" t="s">
        <v>206</v>
      </c>
      <c r="D4" s="9" t="s">
        <v>206</v>
      </c>
      <c r="E4" s="9" t="s">
        <v>206</v>
      </c>
      <c r="F4" s="9" t="s">
        <v>206</v>
      </c>
      <c r="G4" s="9" t="s">
        <v>315</v>
      </c>
      <c r="H4" s="13" t="s">
        <v>297</v>
      </c>
      <c r="I4" s="9" t="s">
        <v>206</v>
      </c>
      <c r="J4" s="9" t="s">
        <v>206</v>
      </c>
      <c r="K4" s="9" t="s">
        <v>87</v>
      </c>
      <c r="L4" s="27" t="s">
        <v>91</v>
      </c>
      <c r="M4" s="9" t="s">
        <v>206</v>
      </c>
      <c r="N4" s="7" t="s">
        <v>88</v>
      </c>
      <c r="O4" s="7" t="s">
        <v>88</v>
      </c>
      <c r="P4" s="7" t="s">
        <v>88</v>
      </c>
      <c r="Q4" s="9" t="s">
        <v>206</v>
      </c>
      <c r="R4" s="33" t="s">
        <v>316</v>
      </c>
      <c r="S4" s="13" t="s">
        <v>334</v>
      </c>
      <c r="T4" s="9" t="s">
        <v>206</v>
      </c>
      <c r="U4" s="9" t="s">
        <v>206</v>
      </c>
      <c r="V4" s="9" t="s">
        <v>31</v>
      </c>
      <c r="W4" s="9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zoomScaleNormal="100" workbookViewId="0">
      <selection activeCell="A2" sqref="A2"/>
    </sheetView>
  </sheetViews>
  <sheetFormatPr defaultRowHeight="14.4" x14ac:dyDescent="0.3"/>
  <cols>
    <col min="1" max="1" width="11.33203125" customWidth="1"/>
    <col min="2" max="2" width="25.44140625" customWidth="1"/>
    <col min="3" max="3" width="17.44140625" customWidth="1"/>
    <col min="4" max="4" width="16.109375" customWidth="1"/>
    <col min="5" max="5" width="8.5546875" customWidth="1"/>
    <col min="6" max="6" width="16.88671875" customWidth="1"/>
    <col min="7" max="7" width="18.6640625" customWidth="1"/>
    <col min="8" max="8" width="19.33203125" customWidth="1"/>
    <col min="9" max="9" width="13.109375" customWidth="1"/>
    <col min="10" max="1025" width="8.5546875" customWidth="1"/>
  </cols>
  <sheetData>
    <row r="1" spans="1:10" ht="28.8" x14ac:dyDescent="0.3">
      <c r="A1" s="6" t="s">
        <v>93</v>
      </c>
      <c r="B1" s="6" t="s">
        <v>122</v>
      </c>
      <c r="C1" s="6" t="s">
        <v>123</v>
      </c>
      <c r="D1" s="6" t="s">
        <v>124</v>
      </c>
      <c r="E1" s="6" t="s">
        <v>96</v>
      </c>
      <c r="F1" s="6" t="s">
        <v>97</v>
      </c>
      <c r="G1" s="6" t="s">
        <v>98</v>
      </c>
      <c r="H1" s="6" t="s">
        <v>99</v>
      </c>
      <c r="I1" s="6" t="s">
        <v>118</v>
      </c>
      <c r="J1" s="6" t="s">
        <v>125</v>
      </c>
    </row>
    <row r="2" spans="1:10" ht="50.4" customHeight="1" x14ac:dyDescent="0.3">
      <c r="A2" s="3" t="s">
        <v>100</v>
      </c>
      <c r="B2" s="3" t="s">
        <v>139</v>
      </c>
      <c r="C2" s="3" t="s">
        <v>127</v>
      </c>
      <c r="D2" s="3" t="s">
        <v>124</v>
      </c>
      <c r="E2" s="3" t="s">
        <v>96</v>
      </c>
      <c r="F2" s="3" t="s">
        <v>128</v>
      </c>
      <c r="G2" s="3" t="s">
        <v>129</v>
      </c>
      <c r="H2" s="3" t="s">
        <v>130</v>
      </c>
      <c r="I2" s="3" t="s">
        <v>131</v>
      </c>
      <c r="J2" s="3" t="s">
        <v>132</v>
      </c>
    </row>
    <row r="3" spans="1:10" ht="28.8" x14ac:dyDescent="0.3">
      <c r="A3" s="3" t="s">
        <v>22</v>
      </c>
      <c r="B3" s="3" t="s">
        <v>23</v>
      </c>
      <c r="C3" s="3" t="s">
        <v>22</v>
      </c>
      <c r="D3" s="7" t="s">
        <v>23</v>
      </c>
      <c r="E3" s="7" t="s">
        <v>22</v>
      </c>
      <c r="F3" s="7" t="s">
        <v>23</v>
      </c>
      <c r="G3" s="7" t="s">
        <v>23</v>
      </c>
      <c r="H3" s="7" t="s">
        <v>23</v>
      </c>
      <c r="I3" s="7" t="s">
        <v>23</v>
      </c>
      <c r="J3" s="5"/>
    </row>
    <row r="4" spans="1:10" x14ac:dyDescent="0.3">
      <c r="A4" s="5" t="s">
        <v>24</v>
      </c>
      <c r="B4" s="5" t="s">
        <v>87</v>
      </c>
      <c r="C4" s="3" t="s">
        <v>88</v>
      </c>
      <c r="D4" s="5" t="s">
        <v>133</v>
      </c>
      <c r="E4" s="5" t="s">
        <v>87</v>
      </c>
      <c r="F4" s="5" t="s">
        <v>87</v>
      </c>
      <c r="G4" s="5" t="s">
        <v>87</v>
      </c>
      <c r="H4" s="5" t="s">
        <v>87</v>
      </c>
      <c r="I4" s="5" t="s">
        <v>87</v>
      </c>
      <c r="J4" s="9" t="s">
        <v>91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Customer</vt:lpstr>
      <vt:lpstr>Loan</vt:lpstr>
      <vt:lpstr>Demand</vt:lpstr>
      <vt:lpstr>Fee</vt:lpstr>
      <vt:lpstr>Disbursement</vt:lpstr>
      <vt:lpstr>Repayment</vt:lpstr>
      <vt:lpstr>ScheduleBalance</vt:lpstr>
      <vt:lpstr>InternalAcBalance</vt:lpstr>
      <vt:lpstr>PDC</vt:lpstr>
      <vt:lpstr>ACHMandate</vt:lpstr>
      <vt:lpstr>HistoryTransaction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Srinivas Thonse</dc:creator>
  <dc:description/>
  <cp:lastModifiedBy>Dell</cp:lastModifiedBy>
  <cp:revision>3</cp:revision>
  <dcterms:created xsi:type="dcterms:W3CDTF">2016-08-11T05:41:36Z</dcterms:created>
  <dcterms:modified xsi:type="dcterms:W3CDTF">2021-06-01T14:32:56Z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